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mortization" sheetId="2" state="visible" r:id="rId4"/>
    <sheet name="Prepayment Simulator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<sst xmlns="http://schemas.openxmlformats.org/spreadsheetml/2006/main" count="62" uniqueCount="43">
  <si>
    <t xml:space="preserve">Two-Wheeler Loan Comparison — Inputs</t>
  </si>
  <si>
    <t xml:space="preserve">Lender</t>
  </si>
  <si>
    <t xml:space="preserve">Principal (₹)</t>
  </si>
  <si>
    <t xml:space="preserve">Annual Interest Rate</t>
  </si>
  <si>
    <t xml:space="preserve">Tenure (Months)</t>
  </si>
  <si>
    <t xml:space="preserve">Processing Fee (₹)</t>
  </si>
  <si>
    <t xml:space="preserve">EMI (₹)</t>
  </si>
  <si>
    <t xml:space="preserve">Total Payment (₹)</t>
  </si>
  <si>
    <t xml:space="preserve">Total Interest (₹)</t>
  </si>
  <si>
    <t xml:space="preserve">HDFC Bank</t>
  </si>
  <si>
    <t xml:space="preserve">ICICI Bank</t>
  </si>
  <si>
    <t xml:space="preserve">State Bank of India</t>
  </si>
  <si>
    <t xml:space="preserve">Bajaj Finance</t>
  </si>
  <si>
    <t xml:space="preserve">Aprilia Dealer Finance</t>
  </si>
  <si>
    <t xml:space="preserve">Assumption: Loan amount reflects an on-road price of ~₹4,00,000 for a mid-capacity motorcycle (e.g. Aprilia Tuono 457). Interest rates are illustrative 2026 two-wheeler loan offers for comparison purposes, not live market quotes.</t>
  </si>
  <si>
    <t xml:space="preserve">EMI Amortization Schedule</t>
  </si>
  <si>
    <t xml:space="preserve">Total Interest (No Prepayment)</t>
  </si>
  <si>
    <t xml:space="preserve">Total Payment (No Prepayment)</t>
  </si>
  <si>
    <t xml:space="preserve">Select Lender:</t>
  </si>
  <si>
    <t xml:space="preserve">Annual Rate</t>
  </si>
  <si>
    <t xml:space="preserve">Monthly EMI (₹)</t>
  </si>
  <si>
    <t xml:space="preserve">Month</t>
  </si>
  <si>
    <t xml:space="preserve">Opening Balance (₹)</t>
  </si>
  <si>
    <t xml:space="preserve">Interest (₹)</t>
  </si>
  <si>
    <t xml:space="preserve">Closing Balance (₹)</t>
  </si>
  <si>
    <t xml:space="preserve">Totals</t>
  </si>
  <si>
    <t xml:space="preserve">Prepayment Simulator — What-If Analysis</t>
  </si>
  <si>
    <t xml:space="preserve">Prepayment Amount (₹):</t>
  </si>
  <si>
    <t xml:space="preserve">Prepayment Month:</t>
  </si>
  <si>
    <t xml:space="preserve">Prepayment (₹)</t>
  </si>
  <si>
    <t xml:space="preserve">Months to Pay Off:</t>
  </si>
  <si>
    <t xml:space="preserve">Original Tenure (Months):</t>
  </si>
  <si>
    <t xml:space="preserve">Tenure Reduced By (Months):</t>
  </si>
  <si>
    <t xml:space="preserve">Total Interest (With Prepayment) (₹):</t>
  </si>
  <si>
    <t xml:space="preserve">Total Interest (No Prepayment) (₹):</t>
  </si>
  <si>
    <t xml:space="preserve">Interest Saved (₹):</t>
  </si>
  <si>
    <t xml:space="preserve">Note: EMI amount stays fixed after prepayment (tenure-reduction method), which is the default prepayment option most Indian lenders apply unless you request an EMI reduction instead.</t>
  </si>
  <si>
    <t xml:space="preserve">Two-Wheeler Loan Dashboard</t>
  </si>
  <si>
    <t xml:space="preserve">Best Lender (Lowest Total Cost)</t>
  </si>
  <si>
    <t xml:space="preserve">Lowest Total Interest (₹)</t>
  </si>
  <si>
    <t xml:space="preserve">Total Interest — Selected Lender (₹)</t>
  </si>
  <si>
    <t xml:space="preserve">Interest Saved via Prepayment (₹)</t>
  </si>
  <si>
    <t xml:space="preserve">Selected lender for the balance and principal/interest charts is controlled from the 'Amortization' sheet dropdown (cell B3). Change it there to update these charts.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</si>
</sst>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;&quot;(₹&quot;#,##0\)"/>
    <numFmt numFmtId="166" formatCode="0.00%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Interest by Lender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Inputs!J3</c:f>
              <c:strCache>
                <c:ptCount val="1"/>
                <c:pt idx="0">
                  <c:v>Total Interest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Inputs!$G$4:$G$8</c:f>
              <c:strCache>
                <c:ptCount val="5"/>
                <c:pt idx="0">
                  <c:v>HDFC Bank</c:v>
                </c:pt>
                <c:pt idx="1">
                  <c:v>ICICI Bank</c:v>
                </c:pt>
                <c:pt idx="2">
                  <c:v>State Bank of India</c:v>
                </c:pt>
                <c:pt idx="3">
                  <c:v>Bajaj Finance</c:v>
                </c:pt>
                <c:pt idx="4">
                  <c:v>Aprilia Dealer Finance</c:v>
                </c:pt>
              </c:strCache>
            </c:strRef>
          </c:cat>
          <c:val>
            <c:numRef>
              <c:f>Inputs!$J$4:$J$8</c:f>
              <c:numCache>
                <c:formatCode>\₹#,##0;"(₹"#,##0\)</c:formatCode>
                <c:ptCount val="5"/>
                <c:pt idx="0">
                  <c:v>61274.4762672563</c:v>
                </c:pt>
                <c:pt idx="1">
                  <c:v>62959.1506080608</c:v>
                </c:pt>
                <c:pt idx="2">
                  <c:v>59593.4752759154</c:v>
                </c:pt>
                <c:pt idx="3">
                  <c:v>74854.4926326812</c:v>
                </c:pt>
                <c:pt idx="4">
                  <c:v>66339.5084719451</c:v>
                </c:pt>
              </c:numCache>
            </c:numRef>
          </c:val>
        </c:ser>
        <c:gapWidth val="150"/>
        <c:overlap val="0"/>
        <c:axId val="69929022"/>
        <c:axId val="5832536"/>
      </c:barChart>
      <c:catAx>
        <c:axId val="69929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2536"/>
        <c:crosses val="autoZero"/>
        <c:auto val="1"/>
        <c:lblAlgn val="ctr"/>
        <c:lblOffset val="100"/>
        <c:noMultiLvlLbl val="0"/>
      </c:catAx>
      <c:valAx>
        <c:axId val="5832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Interest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29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Outstanding Balance Over Time (Selected Lender)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Amortization!F8</c:f>
              <c:strCache>
                <c:ptCount val="1"/>
                <c:pt idx="0">
                  <c:v>Closing Balance (₹)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Amortization!$A$9:$A$44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Amortization!$F$9:$F$44</c:f>
              <c:numCache>
                <c:formatCode>\₹#,##0;"(₹"#,##0\)</c:formatCode>
                <c:ptCount val="36"/>
                <c:pt idx="0">
                  <c:v>390353.490103687</c:v>
                </c:pt>
                <c:pt idx="1">
                  <c:v>380630.610207375</c:v>
                </c:pt>
                <c:pt idx="2">
                  <c:v>370830.760311062</c:v>
                </c:pt>
                <c:pt idx="3">
                  <c:v>360953.320414749</c:v>
                </c:pt>
                <c:pt idx="4">
                  <c:v>350997.690518437</c:v>
                </c:pt>
                <c:pt idx="5">
                  <c:v>340963.240622124</c:v>
                </c:pt>
                <c:pt idx="6">
                  <c:v>330849.350725811</c:v>
                </c:pt>
                <c:pt idx="7">
                  <c:v>320655.390829499</c:v>
                </c:pt>
                <c:pt idx="8">
                  <c:v>310380.730933186</c:v>
                </c:pt>
                <c:pt idx="9">
                  <c:v>300024.731036873</c:v>
                </c:pt>
                <c:pt idx="10">
                  <c:v>289586.751140561</c:v>
                </c:pt>
                <c:pt idx="11">
                  <c:v>279066.131244248</c:v>
                </c:pt>
                <c:pt idx="12">
                  <c:v>268462.221347935</c:v>
                </c:pt>
                <c:pt idx="13">
                  <c:v>257774.371451623</c:v>
                </c:pt>
                <c:pt idx="14">
                  <c:v>247001.90155531</c:v>
                </c:pt>
                <c:pt idx="15">
                  <c:v>236144.151658997</c:v>
                </c:pt>
                <c:pt idx="16">
                  <c:v>225200.441762685</c:v>
                </c:pt>
                <c:pt idx="17">
                  <c:v>214170.101866372</c:v>
                </c:pt>
                <c:pt idx="18">
                  <c:v>203052.431970059</c:v>
                </c:pt>
                <c:pt idx="19">
                  <c:v>191846.752073747</c:v>
                </c:pt>
                <c:pt idx="20">
                  <c:v>180552.362177434</c:v>
                </c:pt>
                <c:pt idx="21">
                  <c:v>169168.552281121</c:v>
                </c:pt>
                <c:pt idx="22">
                  <c:v>157694.622384809</c:v>
                </c:pt>
                <c:pt idx="23">
                  <c:v>146129.862488496</c:v>
                </c:pt>
                <c:pt idx="24">
                  <c:v>134473.542592183</c:v>
                </c:pt>
                <c:pt idx="25">
                  <c:v>122724.94269587</c:v>
                </c:pt>
                <c:pt idx="26">
                  <c:v>110883.332799558</c:v>
                </c:pt>
                <c:pt idx="27">
                  <c:v>98947.9829032451</c:v>
                </c:pt>
                <c:pt idx="28">
                  <c:v>86918.1430069325</c:v>
                </c:pt>
                <c:pt idx="29">
                  <c:v>74793.0631106198</c:v>
                </c:pt>
                <c:pt idx="30">
                  <c:v>62571.9932143071</c:v>
                </c:pt>
                <c:pt idx="31">
                  <c:v>50254.1733179944</c:v>
                </c:pt>
                <c:pt idx="32">
                  <c:v>37838.8434216818</c:v>
                </c:pt>
                <c:pt idx="33">
                  <c:v>25325.2235253691</c:v>
                </c:pt>
                <c:pt idx="34">
                  <c:v>12712.5336290564</c:v>
                </c:pt>
                <c:pt idx="3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773447"/>
        <c:axId val="55635432"/>
      </c:lineChart>
      <c:catAx>
        <c:axId val="337734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35432"/>
        <c:crosses val="autoZero"/>
        <c:auto val="1"/>
        <c:lblAlgn val="ctr"/>
        <c:lblOffset val="100"/>
        <c:noMultiLvlLbl val="0"/>
      </c:catAx>
      <c:valAx>
        <c:axId val="55635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73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Principal vs Interest per Month (Selected Lender)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Amortization!D8</c:f>
              <c:strCache>
                <c:ptCount val="1"/>
                <c:pt idx="0">
                  <c:v>Interest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Amortization!$A$9:$A$44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Amortization!$D$9:$D$44</c:f>
              <c:numCache>
                <c:formatCode>\₹#,##0;"(₹"#,##0\)</c:formatCode>
                <c:ptCount val="36"/>
                <c:pt idx="0">
                  <c:v>3166.67</c:v>
                </c:pt>
                <c:pt idx="1">
                  <c:v>3090.3</c:v>
                </c:pt>
                <c:pt idx="2">
                  <c:v>3013.33</c:v>
                </c:pt>
                <c:pt idx="3">
                  <c:v>2935.74</c:v>
                </c:pt>
                <c:pt idx="4">
                  <c:v>2857.55</c:v>
                </c:pt>
                <c:pt idx="5">
                  <c:v>2778.73</c:v>
                </c:pt>
                <c:pt idx="6">
                  <c:v>2699.29</c:v>
                </c:pt>
                <c:pt idx="7">
                  <c:v>2619.22</c:v>
                </c:pt>
                <c:pt idx="8">
                  <c:v>2538.52</c:v>
                </c:pt>
                <c:pt idx="9">
                  <c:v>2457.18</c:v>
                </c:pt>
                <c:pt idx="10">
                  <c:v>2375.2</c:v>
                </c:pt>
                <c:pt idx="11">
                  <c:v>2292.56</c:v>
                </c:pt>
                <c:pt idx="12">
                  <c:v>2209.27</c:v>
                </c:pt>
                <c:pt idx="13">
                  <c:v>2125.33</c:v>
                </c:pt>
                <c:pt idx="14">
                  <c:v>2040.71</c:v>
                </c:pt>
                <c:pt idx="15">
                  <c:v>1955.43</c:v>
                </c:pt>
                <c:pt idx="16">
                  <c:v>1869.47</c:v>
                </c:pt>
                <c:pt idx="17">
                  <c:v>1782.84</c:v>
                </c:pt>
                <c:pt idx="18">
                  <c:v>1695.51</c:v>
                </c:pt>
                <c:pt idx="19">
                  <c:v>1607.5</c:v>
                </c:pt>
                <c:pt idx="20">
                  <c:v>1518.79</c:v>
                </c:pt>
                <c:pt idx="21">
                  <c:v>1429.37</c:v>
                </c:pt>
                <c:pt idx="22">
                  <c:v>1339.25</c:v>
                </c:pt>
                <c:pt idx="23">
                  <c:v>1248.42</c:v>
                </c:pt>
                <c:pt idx="24">
                  <c:v>1156.86</c:v>
                </c:pt>
                <c:pt idx="25">
                  <c:v>1064.58</c:v>
                </c:pt>
                <c:pt idx="26">
                  <c:v>971.57</c:v>
                </c:pt>
                <c:pt idx="27">
                  <c:v>877.83</c:v>
                </c:pt>
                <c:pt idx="28">
                  <c:v>783.34</c:v>
                </c:pt>
                <c:pt idx="29">
                  <c:v>688.1</c:v>
                </c:pt>
                <c:pt idx="30">
                  <c:v>592.11</c:v>
                </c:pt>
                <c:pt idx="31">
                  <c:v>495.36</c:v>
                </c:pt>
                <c:pt idx="32">
                  <c:v>397.85</c:v>
                </c:pt>
                <c:pt idx="33">
                  <c:v>299.56</c:v>
                </c:pt>
                <c:pt idx="34">
                  <c:v>200.49</c:v>
                </c:pt>
                <c:pt idx="35">
                  <c:v>100.64</c:v>
                </c:pt>
              </c:numCache>
            </c:numRef>
          </c:val>
        </c:ser>
        <c:ser>
          <c:idx val="1"/>
          <c:order val="1"/>
          <c:tx>
            <c:strRef>
              <c:f>Amortization!E8</c:f>
              <c:strCache>
                <c:ptCount val="1"/>
                <c:pt idx="0">
                  <c:v>Principal (₹)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Amortization!$A$9:$A$44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Amortization!$E$9:$E$44</c:f>
              <c:numCache>
                <c:formatCode>\₹#,##0;"(₹"#,##0\)</c:formatCode>
                <c:ptCount val="36"/>
                <c:pt idx="0">
                  <c:v>9646.50989631268</c:v>
                </c:pt>
                <c:pt idx="1">
                  <c:v>9722.87989631268</c:v>
                </c:pt>
                <c:pt idx="2">
                  <c:v>9799.84989631268</c:v>
                </c:pt>
                <c:pt idx="3">
                  <c:v>9877.43989631268</c:v>
                </c:pt>
                <c:pt idx="4">
                  <c:v>9955.62989631268</c:v>
                </c:pt>
                <c:pt idx="5">
                  <c:v>10034.4498963127</c:v>
                </c:pt>
                <c:pt idx="6">
                  <c:v>10113.8898963127</c:v>
                </c:pt>
                <c:pt idx="7">
                  <c:v>10193.9598963127</c:v>
                </c:pt>
                <c:pt idx="8">
                  <c:v>10274.6598963127</c:v>
                </c:pt>
                <c:pt idx="9">
                  <c:v>10355.9998963127</c:v>
                </c:pt>
                <c:pt idx="10">
                  <c:v>10437.9798963127</c:v>
                </c:pt>
                <c:pt idx="11">
                  <c:v>10520.6198963127</c:v>
                </c:pt>
                <c:pt idx="12">
                  <c:v>10603.9098963127</c:v>
                </c:pt>
                <c:pt idx="13">
                  <c:v>10687.8498963127</c:v>
                </c:pt>
                <c:pt idx="14">
                  <c:v>10772.4698963127</c:v>
                </c:pt>
                <c:pt idx="15">
                  <c:v>10857.7498963127</c:v>
                </c:pt>
                <c:pt idx="16">
                  <c:v>10943.7098963127</c:v>
                </c:pt>
                <c:pt idx="17">
                  <c:v>11030.3398963127</c:v>
                </c:pt>
                <c:pt idx="18">
                  <c:v>11117.6698963127</c:v>
                </c:pt>
                <c:pt idx="19">
                  <c:v>11205.6798963127</c:v>
                </c:pt>
                <c:pt idx="20">
                  <c:v>11294.3898963127</c:v>
                </c:pt>
                <c:pt idx="21">
                  <c:v>11383.8098963127</c:v>
                </c:pt>
                <c:pt idx="22">
                  <c:v>11473.9298963127</c:v>
                </c:pt>
                <c:pt idx="23">
                  <c:v>11564.7598963127</c:v>
                </c:pt>
                <c:pt idx="24">
                  <c:v>11656.3198963127</c:v>
                </c:pt>
                <c:pt idx="25">
                  <c:v>11748.5998963127</c:v>
                </c:pt>
                <c:pt idx="26">
                  <c:v>11841.6098963127</c:v>
                </c:pt>
                <c:pt idx="27">
                  <c:v>11935.3498963127</c:v>
                </c:pt>
                <c:pt idx="28">
                  <c:v>12029.8398963127</c:v>
                </c:pt>
                <c:pt idx="29">
                  <c:v>12125.0798963127</c:v>
                </c:pt>
                <c:pt idx="30">
                  <c:v>12221.0698963127</c:v>
                </c:pt>
                <c:pt idx="31">
                  <c:v>12317.8198963127</c:v>
                </c:pt>
                <c:pt idx="32">
                  <c:v>12415.3298963127</c:v>
                </c:pt>
                <c:pt idx="33">
                  <c:v>12513.6198963127</c:v>
                </c:pt>
                <c:pt idx="34">
                  <c:v>12612.6898963127</c:v>
                </c:pt>
                <c:pt idx="35">
                  <c:v>12712.5398963127</c:v>
                </c:pt>
              </c:numCache>
            </c:numRef>
          </c:val>
        </c:ser>
        <c:gapWidth val="150"/>
        <c:overlap val="100"/>
        <c:axId val="99724715"/>
        <c:axId val="19199962"/>
      </c:barChart>
      <c:catAx>
        <c:axId val="997247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99962"/>
        <c:crosses val="autoZero"/>
        <c:auto val="1"/>
        <c:lblAlgn val="ctr"/>
        <c:lblOffset val="100"/>
        <c:noMultiLvlLbl val="0"/>
      </c:catAx>
      <c:valAx>
        <c:axId val="19199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24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5</xdr:col>
      <xdr:colOff>120960</xdr:colOff>
      <xdr:row>24</xdr:row>
      <xdr:rowOff>1080</xdr:rowOff>
    </xdr:to>
    <xdr:graphicFrame>
      <xdr:nvGraphicFramePr>
        <xdr:cNvPr id="0" name="Chart 1"/>
        <xdr:cNvGraphicFramePr/>
      </xdr:nvGraphicFramePr>
      <xdr:xfrm>
        <a:off x="0" y="1828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5</xdr:col>
      <xdr:colOff>120960</xdr:colOff>
      <xdr:row>42</xdr:row>
      <xdr:rowOff>1080</xdr:rowOff>
    </xdr:to>
    <xdr:graphicFrame>
      <xdr:nvGraphicFramePr>
        <xdr:cNvPr id="1" name="Chart 2"/>
        <xdr:cNvGraphicFramePr/>
      </xdr:nvGraphicFramePr>
      <xdr:xfrm>
        <a:off x="0" y="5257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17</xdr:col>
      <xdr:colOff>351360</xdr:colOff>
      <xdr:row>24</xdr:row>
      <xdr:rowOff>1080</xdr:rowOff>
    </xdr:to>
    <xdr:graphicFrame>
      <xdr:nvGraphicFramePr>
        <xdr:cNvPr id="2" name="Chart 3"/>
        <xdr:cNvGraphicFramePr/>
      </xdr:nvGraphicFramePr>
      <xdr:xfrm>
        <a:off x="10149840" y="1828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G3" s="2" t="s">
        <v>1</v>
      </c>
      <c r="H3" s="2" t="s">
        <v>6</v>
      </c>
      <c r="I3" s="2" t="s">
        <v>7</v>
      </c>
      <c r="J3" s="2" t="s">
        <v>8</v>
      </c>
    </row>
    <row r="4" customFormat="false" ht="15" hidden="false" customHeight="false" outlineLevel="0" collapsed="false">
      <c r="A4" s="3" t="s">
        <v>9</v>
      </c>
      <c r="B4" s="4" t="n">
        <v>400000</v>
      </c>
      <c r="C4" s="5" t="n">
        <v>0.095</v>
      </c>
      <c r="D4" s="3" t="n">
        <v>36</v>
      </c>
      <c r="E4" s="4" t="n">
        <v>4000</v>
      </c>
      <c r="G4" s="6" t="str">
        <f aca="false">A4</f>
        <v>HDFC Bank</v>
      </c>
      <c r="H4" s="7" t="n">
        <f aca="false">-PMT(C4/12,D4,B4)</f>
        <v>12813.1798963127</v>
      </c>
      <c r="I4" s="7" t="n">
        <f aca="false">H4*D4</f>
        <v>461274.476267256</v>
      </c>
      <c r="J4" s="7" t="n">
        <f aca="false">I4-B4</f>
        <v>61274.4762672563</v>
      </c>
    </row>
    <row r="5" customFormat="false" ht="15" hidden="false" customHeight="false" outlineLevel="0" collapsed="false">
      <c r="A5" s="3" t="s">
        <v>10</v>
      </c>
      <c r="B5" s="4" t="n">
        <v>400000</v>
      </c>
      <c r="C5" s="5" t="n">
        <v>0.0975</v>
      </c>
      <c r="D5" s="3" t="n">
        <v>36</v>
      </c>
      <c r="E5" s="4" t="n">
        <v>3500</v>
      </c>
      <c r="G5" s="6" t="str">
        <f aca="false">A5</f>
        <v>ICICI Bank</v>
      </c>
      <c r="H5" s="7" t="n">
        <f aca="false">-PMT(C5/12,D5,B5)</f>
        <v>12859.9764057795</v>
      </c>
      <c r="I5" s="7" t="n">
        <f aca="false">H5*D5</f>
        <v>462959.150608061</v>
      </c>
      <c r="J5" s="7" t="n">
        <f aca="false">I5-B5</f>
        <v>62959.1506080608</v>
      </c>
    </row>
    <row r="6" customFormat="false" ht="15" hidden="false" customHeight="false" outlineLevel="0" collapsed="false">
      <c r="A6" s="3" t="s">
        <v>11</v>
      </c>
      <c r="B6" s="4" t="n">
        <v>400000</v>
      </c>
      <c r="C6" s="5" t="n">
        <v>0.0925</v>
      </c>
      <c r="D6" s="3" t="n">
        <v>36</v>
      </c>
      <c r="E6" s="4" t="n">
        <v>3000</v>
      </c>
      <c r="G6" s="6" t="str">
        <f aca="false">A6</f>
        <v>State Bank of India</v>
      </c>
      <c r="H6" s="7" t="n">
        <f aca="false">-PMT(C6/12,D6,B6)</f>
        <v>12766.485424331</v>
      </c>
      <c r="I6" s="7" t="n">
        <f aca="false">H6*D6</f>
        <v>459593.475275915</v>
      </c>
      <c r="J6" s="7" t="n">
        <f aca="false">I6-B6</f>
        <v>59593.4752759154</v>
      </c>
    </row>
    <row r="7" customFormat="false" ht="15" hidden="false" customHeight="false" outlineLevel="0" collapsed="false">
      <c r="A7" s="3" t="s">
        <v>12</v>
      </c>
      <c r="B7" s="4" t="n">
        <v>400000</v>
      </c>
      <c r="C7" s="5" t="n">
        <v>0.115</v>
      </c>
      <c r="D7" s="3" t="n">
        <v>36</v>
      </c>
      <c r="E7" s="4" t="n">
        <v>5000</v>
      </c>
      <c r="G7" s="6" t="str">
        <f aca="false">A7</f>
        <v>Bajaj Finance</v>
      </c>
      <c r="H7" s="7" t="n">
        <f aca="false">-PMT(C7/12,D7,B7)</f>
        <v>13190.40257313</v>
      </c>
      <c r="I7" s="7" t="n">
        <f aca="false">H7*D7</f>
        <v>474854.492632681</v>
      </c>
      <c r="J7" s="7" t="n">
        <f aca="false">I7-B7</f>
        <v>74854.4926326812</v>
      </c>
    </row>
    <row r="8" customFormat="false" ht="15" hidden="false" customHeight="false" outlineLevel="0" collapsed="false">
      <c r="A8" s="3" t="s">
        <v>13</v>
      </c>
      <c r="B8" s="4" t="n">
        <v>400000</v>
      </c>
      <c r="C8" s="5" t="n">
        <v>0.1025</v>
      </c>
      <c r="D8" s="3" t="n">
        <v>36</v>
      </c>
      <c r="E8" s="4" t="n">
        <v>2500</v>
      </c>
      <c r="G8" s="6" t="str">
        <f aca="false">A8</f>
        <v>Aprilia Dealer Finance</v>
      </c>
      <c r="H8" s="7" t="n">
        <f aca="false">-PMT(C8/12,D8,B8)</f>
        <v>12953.8752353318</v>
      </c>
      <c r="I8" s="7" t="n">
        <f aca="false">H8*D8</f>
        <v>466339.508471945</v>
      </c>
      <c r="J8" s="7" t="n">
        <f aca="false">I8-B8</f>
        <v>66339.5084719451</v>
      </c>
    </row>
    <row r="10" customFormat="false" ht="30" hidden="false" customHeight="true" outlineLevel="0" collapsed="false">
      <c r="A10" s="8" t="s">
        <v>14</v>
      </c>
      <c r="B10" s="8"/>
      <c r="C10" s="8"/>
      <c r="D10" s="8"/>
      <c r="E10" s="8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  <c r="H1" s="9" t="s">
        <v>16</v>
      </c>
      <c r="I1" s="10" t="n">
        <f aca="false">D46</f>
        <v>61274.47</v>
      </c>
    </row>
    <row r="2" customFormat="false" ht="15" hidden="false" customHeight="false" outlineLevel="0" collapsed="false">
      <c r="H2" s="9" t="s">
        <v>17</v>
      </c>
      <c r="I2" s="10" t="n">
        <f aca="false">C46</f>
        <v>461274.476267256</v>
      </c>
    </row>
    <row r="3" customFormat="false" ht="15" hidden="false" customHeight="false" outlineLevel="0" collapsed="false">
      <c r="A3" s="11" t="s">
        <v>18</v>
      </c>
      <c r="B3" s="12" t="s">
        <v>9</v>
      </c>
      <c r="D3" s="11" t="s">
        <v>2</v>
      </c>
      <c r="E3" s="13" t="n">
        <f aca="false">INDEX(Inputs!$B$4:$B$8,MATCH($B$3,Inputs!$A$4:$A$8,0))</f>
        <v>400000</v>
      </c>
    </row>
    <row r="4" customFormat="false" ht="15" hidden="false" customHeight="false" outlineLevel="0" collapsed="false">
      <c r="D4" s="11" t="s">
        <v>19</v>
      </c>
      <c r="E4" s="14" t="n">
        <f aca="false">INDEX(Inputs!$C$4:$C$8,MATCH($B$3,Inputs!$A$4:$A$8,0))</f>
        <v>0.095</v>
      </c>
    </row>
    <row r="5" customFormat="false" ht="15" hidden="false" customHeight="false" outlineLevel="0" collapsed="false">
      <c r="D5" s="11" t="s">
        <v>4</v>
      </c>
      <c r="E5" s="15" t="n">
        <f aca="false">INDEX(Inputs!$D$4:$D$8,MATCH($B$3,Inputs!$A$4:$A$8,0))</f>
        <v>36</v>
      </c>
    </row>
    <row r="6" customFormat="false" ht="15" hidden="false" customHeight="false" outlineLevel="0" collapsed="false">
      <c r="D6" s="11" t="s">
        <v>20</v>
      </c>
      <c r="E6" s="10" t="n">
        <f aca="false">-PMT(E4/12,E5,E3)</f>
        <v>12813.1798963127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6</v>
      </c>
      <c r="D8" s="2" t="s">
        <v>23</v>
      </c>
      <c r="E8" s="2" t="s">
        <v>2</v>
      </c>
      <c r="F8" s="2" t="s">
        <v>24</v>
      </c>
    </row>
    <row r="9" customFormat="false" ht="15" hidden="false" customHeight="false" outlineLevel="0" collapsed="false">
      <c r="A9" s="16" t="n">
        <v>1</v>
      </c>
      <c r="B9" s="7" t="n">
        <f aca="false">$E$3</f>
        <v>400000</v>
      </c>
      <c r="C9" s="7" t="n">
        <f aca="false">$E$6</f>
        <v>12813.1798963127</v>
      </c>
      <c r="D9" s="7" t="n">
        <f aca="false">ROUND(B9*$E$4/12,2)</f>
        <v>3166.67</v>
      </c>
      <c r="E9" s="7" t="n">
        <f aca="false">C9-D9</f>
        <v>9646.50989631268</v>
      </c>
      <c r="F9" s="7" t="n">
        <f aca="false">MAX(B9-E9,0)</f>
        <v>390353.490103687</v>
      </c>
    </row>
    <row r="10" customFormat="false" ht="15" hidden="false" customHeight="false" outlineLevel="0" collapsed="false">
      <c r="A10" s="16" t="n">
        <f aca="false">A9+1</f>
        <v>2</v>
      </c>
      <c r="B10" s="7" t="n">
        <f aca="false">F9</f>
        <v>390353.490103687</v>
      </c>
      <c r="C10" s="7" t="n">
        <f aca="false">$E$6</f>
        <v>12813.1798963127</v>
      </c>
      <c r="D10" s="7" t="n">
        <f aca="false">ROUND(B10*$E$4/12,2)</f>
        <v>3090.3</v>
      </c>
      <c r="E10" s="7" t="n">
        <f aca="false">C10-D10</f>
        <v>9722.87989631268</v>
      </c>
      <c r="F10" s="7" t="n">
        <f aca="false">MAX(B10-E10,0)</f>
        <v>380630.610207375</v>
      </c>
    </row>
    <row r="11" customFormat="false" ht="15" hidden="false" customHeight="false" outlineLevel="0" collapsed="false">
      <c r="A11" s="16" t="n">
        <f aca="false">A10+1</f>
        <v>3</v>
      </c>
      <c r="B11" s="7" t="n">
        <f aca="false">F10</f>
        <v>380630.610207375</v>
      </c>
      <c r="C11" s="7" t="n">
        <f aca="false">$E$6</f>
        <v>12813.1798963127</v>
      </c>
      <c r="D11" s="7" t="n">
        <f aca="false">ROUND(B11*$E$4/12,2)</f>
        <v>3013.33</v>
      </c>
      <c r="E11" s="7" t="n">
        <f aca="false">C11-D11</f>
        <v>9799.84989631268</v>
      </c>
      <c r="F11" s="7" t="n">
        <f aca="false">MAX(B11-E11,0)</f>
        <v>370830.760311062</v>
      </c>
    </row>
    <row r="12" customFormat="false" ht="15" hidden="false" customHeight="false" outlineLevel="0" collapsed="false">
      <c r="A12" s="16" t="n">
        <f aca="false">A11+1</f>
        <v>4</v>
      </c>
      <c r="B12" s="7" t="n">
        <f aca="false">F11</f>
        <v>370830.760311062</v>
      </c>
      <c r="C12" s="7" t="n">
        <f aca="false">$E$6</f>
        <v>12813.1798963127</v>
      </c>
      <c r="D12" s="7" t="n">
        <f aca="false">ROUND(B12*$E$4/12,2)</f>
        <v>2935.74</v>
      </c>
      <c r="E12" s="7" t="n">
        <f aca="false">C12-D12</f>
        <v>9877.43989631268</v>
      </c>
      <c r="F12" s="7" t="n">
        <f aca="false">MAX(B12-E12,0)</f>
        <v>360953.320414749</v>
      </c>
    </row>
    <row r="13" customFormat="false" ht="15" hidden="false" customHeight="false" outlineLevel="0" collapsed="false">
      <c r="A13" s="16" t="n">
        <f aca="false">A12+1</f>
        <v>5</v>
      </c>
      <c r="B13" s="7" t="n">
        <f aca="false">F12</f>
        <v>360953.320414749</v>
      </c>
      <c r="C13" s="7" t="n">
        <f aca="false">$E$6</f>
        <v>12813.1798963127</v>
      </c>
      <c r="D13" s="7" t="n">
        <f aca="false">ROUND(B13*$E$4/12,2)</f>
        <v>2857.55</v>
      </c>
      <c r="E13" s="7" t="n">
        <f aca="false">C13-D13</f>
        <v>9955.62989631268</v>
      </c>
      <c r="F13" s="7" t="n">
        <f aca="false">MAX(B13-E13,0)</f>
        <v>350997.690518437</v>
      </c>
    </row>
    <row r="14" customFormat="false" ht="15" hidden="false" customHeight="false" outlineLevel="0" collapsed="false">
      <c r="A14" s="16" t="n">
        <f aca="false">A13+1</f>
        <v>6</v>
      </c>
      <c r="B14" s="7" t="n">
        <f aca="false">F13</f>
        <v>350997.690518437</v>
      </c>
      <c r="C14" s="7" t="n">
        <f aca="false">$E$6</f>
        <v>12813.1798963127</v>
      </c>
      <c r="D14" s="7" t="n">
        <f aca="false">ROUND(B14*$E$4/12,2)</f>
        <v>2778.73</v>
      </c>
      <c r="E14" s="7" t="n">
        <f aca="false">C14-D14</f>
        <v>10034.4498963127</v>
      </c>
      <c r="F14" s="7" t="n">
        <f aca="false">MAX(B14-E14,0)</f>
        <v>340963.240622124</v>
      </c>
    </row>
    <row r="15" customFormat="false" ht="15" hidden="false" customHeight="false" outlineLevel="0" collapsed="false">
      <c r="A15" s="16" t="n">
        <f aca="false">A14+1</f>
        <v>7</v>
      </c>
      <c r="B15" s="7" t="n">
        <f aca="false">F14</f>
        <v>340963.240622124</v>
      </c>
      <c r="C15" s="7" t="n">
        <f aca="false">$E$6</f>
        <v>12813.1798963127</v>
      </c>
      <c r="D15" s="7" t="n">
        <f aca="false">ROUND(B15*$E$4/12,2)</f>
        <v>2699.29</v>
      </c>
      <c r="E15" s="7" t="n">
        <f aca="false">C15-D15</f>
        <v>10113.8898963127</v>
      </c>
      <c r="F15" s="7" t="n">
        <f aca="false">MAX(B15-E15,0)</f>
        <v>330849.350725811</v>
      </c>
    </row>
    <row r="16" customFormat="false" ht="15" hidden="false" customHeight="false" outlineLevel="0" collapsed="false">
      <c r="A16" s="16" t="n">
        <f aca="false">A15+1</f>
        <v>8</v>
      </c>
      <c r="B16" s="7" t="n">
        <f aca="false">F15</f>
        <v>330849.350725811</v>
      </c>
      <c r="C16" s="7" t="n">
        <f aca="false">$E$6</f>
        <v>12813.1798963127</v>
      </c>
      <c r="D16" s="7" t="n">
        <f aca="false">ROUND(B16*$E$4/12,2)</f>
        <v>2619.22</v>
      </c>
      <c r="E16" s="7" t="n">
        <f aca="false">C16-D16</f>
        <v>10193.9598963127</v>
      </c>
      <c r="F16" s="7" t="n">
        <f aca="false">MAX(B16-E16,0)</f>
        <v>320655.390829499</v>
      </c>
    </row>
    <row r="17" customFormat="false" ht="15" hidden="false" customHeight="false" outlineLevel="0" collapsed="false">
      <c r="A17" s="16" t="n">
        <f aca="false">A16+1</f>
        <v>9</v>
      </c>
      <c r="B17" s="7" t="n">
        <f aca="false">F16</f>
        <v>320655.390829499</v>
      </c>
      <c r="C17" s="7" t="n">
        <f aca="false">$E$6</f>
        <v>12813.1798963127</v>
      </c>
      <c r="D17" s="7" t="n">
        <f aca="false">ROUND(B17*$E$4/12,2)</f>
        <v>2538.52</v>
      </c>
      <c r="E17" s="7" t="n">
        <f aca="false">C17-D17</f>
        <v>10274.6598963127</v>
      </c>
      <c r="F17" s="7" t="n">
        <f aca="false">MAX(B17-E17,0)</f>
        <v>310380.730933186</v>
      </c>
    </row>
    <row r="18" customFormat="false" ht="15" hidden="false" customHeight="false" outlineLevel="0" collapsed="false">
      <c r="A18" s="16" t="n">
        <f aca="false">A17+1</f>
        <v>10</v>
      </c>
      <c r="B18" s="7" t="n">
        <f aca="false">F17</f>
        <v>310380.730933186</v>
      </c>
      <c r="C18" s="7" t="n">
        <f aca="false">$E$6</f>
        <v>12813.1798963127</v>
      </c>
      <c r="D18" s="7" t="n">
        <f aca="false">ROUND(B18*$E$4/12,2)</f>
        <v>2457.18</v>
      </c>
      <c r="E18" s="7" t="n">
        <f aca="false">C18-D18</f>
        <v>10355.9998963127</v>
      </c>
      <c r="F18" s="7" t="n">
        <f aca="false">MAX(B18-E18,0)</f>
        <v>300024.731036873</v>
      </c>
    </row>
    <row r="19" customFormat="false" ht="15" hidden="false" customHeight="false" outlineLevel="0" collapsed="false">
      <c r="A19" s="16" t="n">
        <f aca="false">A18+1</f>
        <v>11</v>
      </c>
      <c r="B19" s="7" t="n">
        <f aca="false">F18</f>
        <v>300024.731036873</v>
      </c>
      <c r="C19" s="7" t="n">
        <f aca="false">$E$6</f>
        <v>12813.1798963127</v>
      </c>
      <c r="D19" s="7" t="n">
        <f aca="false">ROUND(B19*$E$4/12,2)</f>
        <v>2375.2</v>
      </c>
      <c r="E19" s="7" t="n">
        <f aca="false">C19-D19</f>
        <v>10437.9798963127</v>
      </c>
      <c r="F19" s="7" t="n">
        <f aca="false">MAX(B19-E19,0)</f>
        <v>289586.751140561</v>
      </c>
    </row>
    <row r="20" customFormat="false" ht="15" hidden="false" customHeight="false" outlineLevel="0" collapsed="false">
      <c r="A20" s="16" t="n">
        <f aca="false">A19+1</f>
        <v>12</v>
      </c>
      <c r="B20" s="7" t="n">
        <f aca="false">F19</f>
        <v>289586.751140561</v>
      </c>
      <c r="C20" s="7" t="n">
        <f aca="false">$E$6</f>
        <v>12813.1798963127</v>
      </c>
      <c r="D20" s="7" t="n">
        <f aca="false">ROUND(B20*$E$4/12,2)</f>
        <v>2292.56</v>
      </c>
      <c r="E20" s="7" t="n">
        <f aca="false">C20-D20</f>
        <v>10520.6198963127</v>
      </c>
      <c r="F20" s="7" t="n">
        <f aca="false">MAX(B20-E20,0)</f>
        <v>279066.131244248</v>
      </c>
    </row>
    <row r="21" customFormat="false" ht="15" hidden="false" customHeight="false" outlineLevel="0" collapsed="false">
      <c r="A21" s="16" t="n">
        <f aca="false">A20+1</f>
        <v>13</v>
      </c>
      <c r="B21" s="7" t="n">
        <f aca="false">F20</f>
        <v>279066.131244248</v>
      </c>
      <c r="C21" s="7" t="n">
        <f aca="false">$E$6</f>
        <v>12813.1798963127</v>
      </c>
      <c r="D21" s="7" t="n">
        <f aca="false">ROUND(B21*$E$4/12,2)</f>
        <v>2209.27</v>
      </c>
      <c r="E21" s="7" t="n">
        <f aca="false">C21-D21</f>
        <v>10603.9098963127</v>
      </c>
      <c r="F21" s="7" t="n">
        <f aca="false">MAX(B21-E21,0)</f>
        <v>268462.221347935</v>
      </c>
    </row>
    <row r="22" customFormat="false" ht="15" hidden="false" customHeight="false" outlineLevel="0" collapsed="false">
      <c r="A22" s="16" t="n">
        <f aca="false">A21+1</f>
        <v>14</v>
      </c>
      <c r="B22" s="7" t="n">
        <f aca="false">F21</f>
        <v>268462.221347935</v>
      </c>
      <c r="C22" s="7" t="n">
        <f aca="false">$E$6</f>
        <v>12813.1798963127</v>
      </c>
      <c r="D22" s="7" t="n">
        <f aca="false">ROUND(B22*$E$4/12,2)</f>
        <v>2125.33</v>
      </c>
      <c r="E22" s="7" t="n">
        <f aca="false">C22-D22</f>
        <v>10687.8498963127</v>
      </c>
      <c r="F22" s="7" t="n">
        <f aca="false">MAX(B22-E22,0)</f>
        <v>257774.371451623</v>
      </c>
    </row>
    <row r="23" customFormat="false" ht="15" hidden="false" customHeight="false" outlineLevel="0" collapsed="false">
      <c r="A23" s="16" t="n">
        <f aca="false">A22+1</f>
        <v>15</v>
      </c>
      <c r="B23" s="7" t="n">
        <f aca="false">F22</f>
        <v>257774.371451623</v>
      </c>
      <c r="C23" s="7" t="n">
        <f aca="false">$E$6</f>
        <v>12813.1798963127</v>
      </c>
      <c r="D23" s="7" t="n">
        <f aca="false">ROUND(B23*$E$4/12,2)</f>
        <v>2040.71</v>
      </c>
      <c r="E23" s="7" t="n">
        <f aca="false">C23-D23</f>
        <v>10772.4698963127</v>
      </c>
      <c r="F23" s="7" t="n">
        <f aca="false">MAX(B23-E23,0)</f>
        <v>247001.90155531</v>
      </c>
    </row>
    <row r="24" customFormat="false" ht="15" hidden="false" customHeight="false" outlineLevel="0" collapsed="false">
      <c r="A24" s="16" t="n">
        <f aca="false">A23+1</f>
        <v>16</v>
      </c>
      <c r="B24" s="7" t="n">
        <f aca="false">F23</f>
        <v>247001.90155531</v>
      </c>
      <c r="C24" s="7" t="n">
        <f aca="false">$E$6</f>
        <v>12813.1798963127</v>
      </c>
      <c r="D24" s="7" t="n">
        <f aca="false">ROUND(B24*$E$4/12,2)</f>
        <v>1955.43</v>
      </c>
      <c r="E24" s="7" t="n">
        <f aca="false">C24-D24</f>
        <v>10857.7498963127</v>
      </c>
      <c r="F24" s="7" t="n">
        <f aca="false">MAX(B24-E24,0)</f>
        <v>236144.151658997</v>
      </c>
    </row>
    <row r="25" customFormat="false" ht="15" hidden="false" customHeight="false" outlineLevel="0" collapsed="false">
      <c r="A25" s="16" t="n">
        <f aca="false">A24+1</f>
        <v>17</v>
      </c>
      <c r="B25" s="7" t="n">
        <f aca="false">F24</f>
        <v>236144.151658997</v>
      </c>
      <c r="C25" s="7" t="n">
        <f aca="false">$E$6</f>
        <v>12813.1798963127</v>
      </c>
      <c r="D25" s="7" t="n">
        <f aca="false">ROUND(B25*$E$4/12,2)</f>
        <v>1869.47</v>
      </c>
      <c r="E25" s="7" t="n">
        <f aca="false">C25-D25</f>
        <v>10943.7098963127</v>
      </c>
      <c r="F25" s="7" t="n">
        <f aca="false">MAX(B25-E25,0)</f>
        <v>225200.441762685</v>
      </c>
    </row>
    <row r="26" customFormat="false" ht="15" hidden="false" customHeight="false" outlineLevel="0" collapsed="false">
      <c r="A26" s="16" t="n">
        <f aca="false">A25+1</f>
        <v>18</v>
      </c>
      <c r="B26" s="7" t="n">
        <f aca="false">F25</f>
        <v>225200.441762685</v>
      </c>
      <c r="C26" s="7" t="n">
        <f aca="false">$E$6</f>
        <v>12813.1798963127</v>
      </c>
      <c r="D26" s="7" t="n">
        <f aca="false">ROUND(B26*$E$4/12,2)</f>
        <v>1782.84</v>
      </c>
      <c r="E26" s="7" t="n">
        <f aca="false">C26-D26</f>
        <v>11030.3398963127</v>
      </c>
      <c r="F26" s="7" t="n">
        <f aca="false">MAX(B26-E26,0)</f>
        <v>214170.101866372</v>
      </c>
    </row>
    <row r="27" customFormat="false" ht="15" hidden="false" customHeight="false" outlineLevel="0" collapsed="false">
      <c r="A27" s="16" t="n">
        <f aca="false">A26+1</f>
        <v>19</v>
      </c>
      <c r="B27" s="7" t="n">
        <f aca="false">F26</f>
        <v>214170.101866372</v>
      </c>
      <c r="C27" s="7" t="n">
        <f aca="false">$E$6</f>
        <v>12813.1798963127</v>
      </c>
      <c r="D27" s="7" t="n">
        <f aca="false">ROUND(B27*$E$4/12,2)</f>
        <v>1695.51</v>
      </c>
      <c r="E27" s="7" t="n">
        <f aca="false">C27-D27</f>
        <v>11117.6698963127</v>
      </c>
      <c r="F27" s="7" t="n">
        <f aca="false">MAX(B27-E27,0)</f>
        <v>203052.431970059</v>
      </c>
    </row>
    <row r="28" customFormat="false" ht="15" hidden="false" customHeight="false" outlineLevel="0" collapsed="false">
      <c r="A28" s="16" t="n">
        <f aca="false">A27+1</f>
        <v>20</v>
      </c>
      <c r="B28" s="7" t="n">
        <f aca="false">F27</f>
        <v>203052.431970059</v>
      </c>
      <c r="C28" s="7" t="n">
        <f aca="false">$E$6</f>
        <v>12813.1798963127</v>
      </c>
      <c r="D28" s="7" t="n">
        <f aca="false">ROUND(B28*$E$4/12,2)</f>
        <v>1607.5</v>
      </c>
      <c r="E28" s="7" t="n">
        <f aca="false">C28-D28</f>
        <v>11205.6798963127</v>
      </c>
      <c r="F28" s="7" t="n">
        <f aca="false">MAX(B28-E28,0)</f>
        <v>191846.752073747</v>
      </c>
    </row>
    <row r="29" customFormat="false" ht="15" hidden="false" customHeight="false" outlineLevel="0" collapsed="false">
      <c r="A29" s="16" t="n">
        <f aca="false">A28+1</f>
        <v>21</v>
      </c>
      <c r="B29" s="7" t="n">
        <f aca="false">F28</f>
        <v>191846.752073747</v>
      </c>
      <c r="C29" s="7" t="n">
        <f aca="false">$E$6</f>
        <v>12813.1798963127</v>
      </c>
      <c r="D29" s="7" t="n">
        <f aca="false">ROUND(B29*$E$4/12,2)</f>
        <v>1518.79</v>
      </c>
      <c r="E29" s="7" t="n">
        <f aca="false">C29-D29</f>
        <v>11294.3898963127</v>
      </c>
      <c r="F29" s="7" t="n">
        <f aca="false">MAX(B29-E29,0)</f>
        <v>180552.362177434</v>
      </c>
    </row>
    <row r="30" customFormat="false" ht="15" hidden="false" customHeight="false" outlineLevel="0" collapsed="false">
      <c r="A30" s="16" t="n">
        <f aca="false">A29+1</f>
        <v>22</v>
      </c>
      <c r="B30" s="7" t="n">
        <f aca="false">F29</f>
        <v>180552.362177434</v>
      </c>
      <c r="C30" s="7" t="n">
        <f aca="false">$E$6</f>
        <v>12813.1798963127</v>
      </c>
      <c r="D30" s="7" t="n">
        <f aca="false">ROUND(B30*$E$4/12,2)</f>
        <v>1429.37</v>
      </c>
      <c r="E30" s="7" t="n">
        <f aca="false">C30-D30</f>
        <v>11383.8098963127</v>
      </c>
      <c r="F30" s="7" t="n">
        <f aca="false">MAX(B30-E30,0)</f>
        <v>169168.552281121</v>
      </c>
    </row>
    <row r="31" customFormat="false" ht="15" hidden="false" customHeight="false" outlineLevel="0" collapsed="false">
      <c r="A31" s="16" t="n">
        <f aca="false">A30+1</f>
        <v>23</v>
      </c>
      <c r="B31" s="7" t="n">
        <f aca="false">F30</f>
        <v>169168.552281121</v>
      </c>
      <c r="C31" s="7" t="n">
        <f aca="false">$E$6</f>
        <v>12813.1798963127</v>
      </c>
      <c r="D31" s="7" t="n">
        <f aca="false">ROUND(B31*$E$4/12,2)</f>
        <v>1339.25</v>
      </c>
      <c r="E31" s="7" t="n">
        <f aca="false">C31-D31</f>
        <v>11473.9298963127</v>
      </c>
      <c r="F31" s="7" t="n">
        <f aca="false">MAX(B31-E31,0)</f>
        <v>157694.622384809</v>
      </c>
    </row>
    <row r="32" customFormat="false" ht="15" hidden="false" customHeight="false" outlineLevel="0" collapsed="false">
      <c r="A32" s="16" t="n">
        <f aca="false">A31+1</f>
        <v>24</v>
      </c>
      <c r="B32" s="7" t="n">
        <f aca="false">F31</f>
        <v>157694.622384809</v>
      </c>
      <c r="C32" s="7" t="n">
        <f aca="false">$E$6</f>
        <v>12813.1798963127</v>
      </c>
      <c r="D32" s="7" t="n">
        <f aca="false">ROUND(B32*$E$4/12,2)</f>
        <v>1248.42</v>
      </c>
      <c r="E32" s="7" t="n">
        <f aca="false">C32-D32</f>
        <v>11564.7598963127</v>
      </c>
      <c r="F32" s="7" t="n">
        <f aca="false">MAX(B32-E32,0)</f>
        <v>146129.862488496</v>
      </c>
    </row>
    <row r="33" customFormat="false" ht="15" hidden="false" customHeight="false" outlineLevel="0" collapsed="false">
      <c r="A33" s="16" t="n">
        <f aca="false">A32+1</f>
        <v>25</v>
      </c>
      <c r="B33" s="7" t="n">
        <f aca="false">F32</f>
        <v>146129.862488496</v>
      </c>
      <c r="C33" s="7" t="n">
        <f aca="false">$E$6</f>
        <v>12813.1798963127</v>
      </c>
      <c r="D33" s="7" t="n">
        <f aca="false">ROUND(B33*$E$4/12,2)</f>
        <v>1156.86</v>
      </c>
      <c r="E33" s="7" t="n">
        <f aca="false">C33-D33</f>
        <v>11656.3198963127</v>
      </c>
      <c r="F33" s="7" t="n">
        <f aca="false">MAX(B33-E33,0)</f>
        <v>134473.542592183</v>
      </c>
    </row>
    <row r="34" customFormat="false" ht="15" hidden="false" customHeight="false" outlineLevel="0" collapsed="false">
      <c r="A34" s="16" t="n">
        <f aca="false">A33+1</f>
        <v>26</v>
      </c>
      <c r="B34" s="7" t="n">
        <f aca="false">F33</f>
        <v>134473.542592183</v>
      </c>
      <c r="C34" s="7" t="n">
        <f aca="false">$E$6</f>
        <v>12813.1798963127</v>
      </c>
      <c r="D34" s="7" t="n">
        <f aca="false">ROUND(B34*$E$4/12,2)</f>
        <v>1064.58</v>
      </c>
      <c r="E34" s="7" t="n">
        <f aca="false">C34-D34</f>
        <v>11748.5998963127</v>
      </c>
      <c r="F34" s="7" t="n">
        <f aca="false">MAX(B34-E34,0)</f>
        <v>122724.94269587</v>
      </c>
    </row>
    <row r="35" customFormat="false" ht="15" hidden="false" customHeight="false" outlineLevel="0" collapsed="false">
      <c r="A35" s="16" t="n">
        <f aca="false">A34+1</f>
        <v>27</v>
      </c>
      <c r="B35" s="7" t="n">
        <f aca="false">F34</f>
        <v>122724.94269587</v>
      </c>
      <c r="C35" s="7" t="n">
        <f aca="false">$E$6</f>
        <v>12813.1798963127</v>
      </c>
      <c r="D35" s="7" t="n">
        <f aca="false">ROUND(B35*$E$4/12,2)</f>
        <v>971.57</v>
      </c>
      <c r="E35" s="7" t="n">
        <f aca="false">C35-D35</f>
        <v>11841.6098963127</v>
      </c>
      <c r="F35" s="7" t="n">
        <f aca="false">MAX(B35-E35,0)</f>
        <v>110883.332799558</v>
      </c>
    </row>
    <row r="36" customFormat="false" ht="15" hidden="false" customHeight="false" outlineLevel="0" collapsed="false">
      <c r="A36" s="16" t="n">
        <f aca="false">A35+1</f>
        <v>28</v>
      </c>
      <c r="B36" s="7" t="n">
        <f aca="false">F35</f>
        <v>110883.332799558</v>
      </c>
      <c r="C36" s="7" t="n">
        <f aca="false">$E$6</f>
        <v>12813.1798963127</v>
      </c>
      <c r="D36" s="7" t="n">
        <f aca="false">ROUND(B36*$E$4/12,2)</f>
        <v>877.83</v>
      </c>
      <c r="E36" s="7" t="n">
        <f aca="false">C36-D36</f>
        <v>11935.3498963127</v>
      </c>
      <c r="F36" s="7" t="n">
        <f aca="false">MAX(B36-E36,0)</f>
        <v>98947.9829032451</v>
      </c>
    </row>
    <row r="37" customFormat="false" ht="15" hidden="false" customHeight="false" outlineLevel="0" collapsed="false">
      <c r="A37" s="16" t="n">
        <f aca="false">A36+1</f>
        <v>29</v>
      </c>
      <c r="B37" s="7" t="n">
        <f aca="false">F36</f>
        <v>98947.9829032451</v>
      </c>
      <c r="C37" s="7" t="n">
        <f aca="false">$E$6</f>
        <v>12813.1798963127</v>
      </c>
      <c r="D37" s="7" t="n">
        <f aca="false">ROUND(B37*$E$4/12,2)</f>
        <v>783.34</v>
      </c>
      <c r="E37" s="7" t="n">
        <f aca="false">C37-D37</f>
        <v>12029.8398963127</v>
      </c>
      <c r="F37" s="7" t="n">
        <f aca="false">MAX(B37-E37,0)</f>
        <v>86918.1430069325</v>
      </c>
    </row>
    <row r="38" customFormat="false" ht="15" hidden="false" customHeight="false" outlineLevel="0" collapsed="false">
      <c r="A38" s="16" t="n">
        <f aca="false">A37+1</f>
        <v>30</v>
      </c>
      <c r="B38" s="7" t="n">
        <f aca="false">F37</f>
        <v>86918.1430069325</v>
      </c>
      <c r="C38" s="7" t="n">
        <f aca="false">$E$6</f>
        <v>12813.1798963127</v>
      </c>
      <c r="D38" s="7" t="n">
        <f aca="false">ROUND(B38*$E$4/12,2)</f>
        <v>688.1</v>
      </c>
      <c r="E38" s="7" t="n">
        <f aca="false">C38-D38</f>
        <v>12125.0798963127</v>
      </c>
      <c r="F38" s="7" t="n">
        <f aca="false">MAX(B38-E38,0)</f>
        <v>74793.0631106198</v>
      </c>
    </row>
    <row r="39" customFormat="false" ht="15" hidden="false" customHeight="false" outlineLevel="0" collapsed="false">
      <c r="A39" s="16" t="n">
        <f aca="false">A38+1</f>
        <v>31</v>
      </c>
      <c r="B39" s="7" t="n">
        <f aca="false">F38</f>
        <v>74793.0631106198</v>
      </c>
      <c r="C39" s="7" t="n">
        <f aca="false">$E$6</f>
        <v>12813.1798963127</v>
      </c>
      <c r="D39" s="7" t="n">
        <f aca="false">ROUND(B39*$E$4/12,2)</f>
        <v>592.11</v>
      </c>
      <c r="E39" s="7" t="n">
        <f aca="false">C39-D39</f>
        <v>12221.0698963127</v>
      </c>
      <c r="F39" s="7" t="n">
        <f aca="false">MAX(B39-E39,0)</f>
        <v>62571.9932143071</v>
      </c>
    </row>
    <row r="40" customFormat="false" ht="15" hidden="false" customHeight="false" outlineLevel="0" collapsed="false">
      <c r="A40" s="16" t="n">
        <f aca="false">A39+1</f>
        <v>32</v>
      </c>
      <c r="B40" s="7" t="n">
        <f aca="false">F39</f>
        <v>62571.9932143071</v>
      </c>
      <c r="C40" s="7" t="n">
        <f aca="false">$E$6</f>
        <v>12813.1798963127</v>
      </c>
      <c r="D40" s="7" t="n">
        <f aca="false">ROUND(B40*$E$4/12,2)</f>
        <v>495.36</v>
      </c>
      <c r="E40" s="7" t="n">
        <f aca="false">C40-D40</f>
        <v>12317.8198963127</v>
      </c>
      <c r="F40" s="7" t="n">
        <f aca="false">MAX(B40-E40,0)</f>
        <v>50254.1733179944</v>
      </c>
    </row>
    <row r="41" customFormat="false" ht="15" hidden="false" customHeight="false" outlineLevel="0" collapsed="false">
      <c r="A41" s="16" t="n">
        <f aca="false">A40+1</f>
        <v>33</v>
      </c>
      <c r="B41" s="7" t="n">
        <f aca="false">F40</f>
        <v>50254.1733179944</v>
      </c>
      <c r="C41" s="7" t="n">
        <f aca="false">$E$6</f>
        <v>12813.1798963127</v>
      </c>
      <c r="D41" s="7" t="n">
        <f aca="false">ROUND(B41*$E$4/12,2)</f>
        <v>397.85</v>
      </c>
      <c r="E41" s="7" t="n">
        <f aca="false">C41-D41</f>
        <v>12415.3298963127</v>
      </c>
      <c r="F41" s="7" t="n">
        <f aca="false">MAX(B41-E41,0)</f>
        <v>37838.8434216818</v>
      </c>
    </row>
    <row r="42" customFormat="false" ht="15" hidden="false" customHeight="false" outlineLevel="0" collapsed="false">
      <c r="A42" s="16" t="n">
        <f aca="false">A41+1</f>
        <v>34</v>
      </c>
      <c r="B42" s="7" t="n">
        <f aca="false">F41</f>
        <v>37838.8434216818</v>
      </c>
      <c r="C42" s="7" t="n">
        <f aca="false">$E$6</f>
        <v>12813.1798963127</v>
      </c>
      <c r="D42" s="7" t="n">
        <f aca="false">ROUND(B42*$E$4/12,2)</f>
        <v>299.56</v>
      </c>
      <c r="E42" s="7" t="n">
        <f aca="false">C42-D42</f>
        <v>12513.6198963127</v>
      </c>
      <c r="F42" s="7" t="n">
        <f aca="false">MAX(B42-E42,0)</f>
        <v>25325.2235253691</v>
      </c>
    </row>
    <row r="43" customFormat="false" ht="15" hidden="false" customHeight="false" outlineLevel="0" collapsed="false">
      <c r="A43" s="16" t="n">
        <f aca="false">A42+1</f>
        <v>35</v>
      </c>
      <c r="B43" s="7" t="n">
        <f aca="false">F42</f>
        <v>25325.2235253691</v>
      </c>
      <c r="C43" s="7" t="n">
        <f aca="false">$E$6</f>
        <v>12813.1798963127</v>
      </c>
      <c r="D43" s="7" t="n">
        <f aca="false">ROUND(B43*$E$4/12,2)</f>
        <v>200.49</v>
      </c>
      <c r="E43" s="7" t="n">
        <f aca="false">C43-D43</f>
        <v>12612.6898963127</v>
      </c>
      <c r="F43" s="7" t="n">
        <f aca="false">MAX(B43-E43,0)</f>
        <v>12712.5336290564</v>
      </c>
    </row>
    <row r="44" customFormat="false" ht="15" hidden="false" customHeight="false" outlineLevel="0" collapsed="false">
      <c r="A44" s="16" t="n">
        <f aca="false">A43+1</f>
        <v>36</v>
      </c>
      <c r="B44" s="7" t="n">
        <f aca="false">F43</f>
        <v>12712.5336290564</v>
      </c>
      <c r="C44" s="7" t="n">
        <f aca="false">$E$6</f>
        <v>12813.1798963127</v>
      </c>
      <c r="D44" s="7" t="n">
        <f aca="false">ROUND(B44*$E$4/12,2)</f>
        <v>100.64</v>
      </c>
      <c r="E44" s="7" t="n">
        <f aca="false">C44-D44</f>
        <v>12712.5398963127</v>
      </c>
      <c r="F44" s="7" t="n">
        <f aca="false">MAX(B44-E44,0)</f>
        <v>0</v>
      </c>
    </row>
    <row r="46" customFormat="false" ht="15" hidden="false" customHeight="false" outlineLevel="0" collapsed="false">
      <c r="A46" s="17" t="s">
        <v>25</v>
      </c>
      <c r="C46" s="7" t="n">
        <f aca="false">SUM(C9:C44)</f>
        <v>461274.476267256</v>
      </c>
      <c r="D46" s="7" t="n">
        <f aca="false">SUM(D9:D44)</f>
        <v>61274.47</v>
      </c>
      <c r="E46" s="7" t="n">
        <f aca="false">SUM(E9:E44)</f>
        <v>400000.006267256</v>
      </c>
    </row>
  </sheetData>
  <mergeCells count="1">
    <mergeCell ref="A1:F1"/>
  </mergeCells>
  <dataValidations count="1">
    <dataValidation allowBlank="false" errorStyle="stop" operator="between" showDropDown="false" showErrorMessage="false" showInputMessage="false" sqref="B3" type="list">
      <formula1>Inputs!$A$4:$A$8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1" t="s">
        <v>18</v>
      </c>
      <c r="B3" s="12" t="s">
        <v>9</v>
      </c>
      <c r="D3" s="11" t="s">
        <v>2</v>
      </c>
      <c r="E3" s="13" t="n">
        <f aca="false">INDEX(Inputs!$B$4:$B$8,MATCH($B$3,Inputs!$A$4:$A$8,0))</f>
        <v>400000</v>
      </c>
    </row>
    <row r="4" customFormat="false" ht="15" hidden="false" customHeight="false" outlineLevel="0" collapsed="false">
      <c r="D4" s="11" t="s">
        <v>19</v>
      </c>
      <c r="E4" s="14" t="n">
        <f aca="false">INDEX(Inputs!$C$4:$C$8,MATCH($B$3,Inputs!$A$4:$A$8,0))</f>
        <v>0.095</v>
      </c>
    </row>
    <row r="5" customFormat="false" ht="15" hidden="false" customHeight="false" outlineLevel="0" collapsed="false">
      <c r="A5" s="11" t="s">
        <v>27</v>
      </c>
      <c r="B5" s="18" t="n">
        <v>20000</v>
      </c>
      <c r="D5" s="11" t="s">
        <v>4</v>
      </c>
      <c r="E5" s="15" t="n">
        <f aca="false">INDEX(Inputs!$D$4:$D$8,MATCH($B$3,Inputs!$A$4:$A$8,0))</f>
        <v>36</v>
      </c>
    </row>
    <row r="6" customFormat="false" ht="15" hidden="false" customHeight="false" outlineLevel="0" collapsed="false">
      <c r="A6" s="11" t="s">
        <v>28</v>
      </c>
      <c r="B6" s="12" t="n">
        <v>6</v>
      </c>
      <c r="D6" s="11" t="s">
        <v>20</v>
      </c>
      <c r="E6" s="10" t="n">
        <f aca="false">-PMT(E4/12,E5,E3)</f>
        <v>12813.1798963127</v>
      </c>
    </row>
    <row r="9" customFormat="false" ht="15" hidden="false" customHeight="false" outlineLevel="0" collapsed="false">
      <c r="A9" s="2" t="s">
        <v>21</v>
      </c>
      <c r="B9" s="2" t="s">
        <v>22</v>
      </c>
      <c r="C9" s="2" t="s">
        <v>6</v>
      </c>
      <c r="D9" s="2" t="s">
        <v>23</v>
      </c>
      <c r="E9" s="2" t="s">
        <v>2</v>
      </c>
      <c r="F9" s="2" t="s">
        <v>29</v>
      </c>
      <c r="G9" s="2" t="s">
        <v>24</v>
      </c>
    </row>
    <row r="10" customFormat="false" ht="15" hidden="false" customHeight="false" outlineLevel="0" collapsed="false">
      <c r="A10" s="16" t="n">
        <v>1</v>
      </c>
      <c r="B10" s="7" t="n">
        <f aca="false">$E$3</f>
        <v>400000</v>
      </c>
      <c r="C10" s="7" t="n">
        <f aca="false">$E$6</f>
        <v>12813.1798963127</v>
      </c>
      <c r="D10" s="7" t="n">
        <f aca="false">IF(B10&lt;=0,0,ROUND(B10*$E$4/12,2))</f>
        <v>3166.67</v>
      </c>
      <c r="E10" s="7" t="n">
        <f aca="false">IF(B10&lt;=0,0,MIN(C10-D10,B10))</f>
        <v>9646.50989631268</v>
      </c>
      <c r="F10" s="7" t="n">
        <f aca="false">IF(AND(A10=$B$6,B10&gt;0),MIN($B$5,B10-E10),0)</f>
        <v>0</v>
      </c>
      <c r="G10" s="7" t="n">
        <f aca="false">MAX(B10-E10-F10,0)</f>
        <v>390353.490103687</v>
      </c>
    </row>
    <row r="11" customFormat="false" ht="15" hidden="false" customHeight="false" outlineLevel="0" collapsed="false">
      <c r="A11" s="16" t="n">
        <f aca="false">A10+1</f>
        <v>2</v>
      </c>
      <c r="B11" s="7" t="n">
        <f aca="false">G10</f>
        <v>390353.490103687</v>
      </c>
      <c r="C11" s="7" t="n">
        <f aca="false">$E$6</f>
        <v>12813.1798963127</v>
      </c>
      <c r="D11" s="7" t="n">
        <f aca="false">IF(B11&lt;=0,0,ROUND(B11*$E$4/12,2))</f>
        <v>3090.3</v>
      </c>
      <c r="E11" s="7" t="n">
        <f aca="false">IF(B11&lt;=0,0,MIN(C11-D11,B11))</f>
        <v>9722.87989631268</v>
      </c>
      <c r="F11" s="7" t="n">
        <f aca="false">IF(AND(A11=$B$6,B11&gt;0),MIN($B$5,B11-E11),0)</f>
        <v>0</v>
      </c>
      <c r="G11" s="7" t="n">
        <f aca="false">MAX(B11-E11-F11,0)</f>
        <v>380630.610207375</v>
      </c>
    </row>
    <row r="12" customFormat="false" ht="15" hidden="false" customHeight="false" outlineLevel="0" collapsed="false">
      <c r="A12" s="16" t="n">
        <f aca="false">A11+1</f>
        <v>3</v>
      </c>
      <c r="B12" s="7" t="n">
        <f aca="false">G11</f>
        <v>380630.610207375</v>
      </c>
      <c r="C12" s="7" t="n">
        <f aca="false">$E$6</f>
        <v>12813.1798963127</v>
      </c>
      <c r="D12" s="7" t="n">
        <f aca="false">IF(B12&lt;=0,0,ROUND(B12*$E$4/12,2))</f>
        <v>3013.33</v>
      </c>
      <c r="E12" s="7" t="n">
        <f aca="false">IF(B12&lt;=0,0,MIN(C12-D12,B12))</f>
        <v>9799.84989631268</v>
      </c>
      <c r="F12" s="7" t="n">
        <f aca="false">IF(AND(A12=$B$6,B12&gt;0),MIN($B$5,B12-E12),0)</f>
        <v>0</v>
      </c>
      <c r="G12" s="7" t="n">
        <f aca="false">MAX(B12-E12-F12,0)</f>
        <v>370830.760311062</v>
      </c>
    </row>
    <row r="13" customFormat="false" ht="15" hidden="false" customHeight="false" outlineLevel="0" collapsed="false">
      <c r="A13" s="16" t="n">
        <f aca="false">A12+1</f>
        <v>4</v>
      </c>
      <c r="B13" s="7" t="n">
        <f aca="false">G12</f>
        <v>370830.760311062</v>
      </c>
      <c r="C13" s="7" t="n">
        <f aca="false">$E$6</f>
        <v>12813.1798963127</v>
      </c>
      <c r="D13" s="7" t="n">
        <f aca="false">IF(B13&lt;=0,0,ROUND(B13*$E$4/12,2))</f>
        <v>2935.74</v>
      </c>
      <c r="E13" s="7" t="n">
        <f aca="false">IF(B13&lt;=0,0,MIN(C13-D13,B13))</f>
        <v>9877.43989631268</v>
      </c>
      <c r="F13" s="7" t="n">
        <f aca="false">IF(AND(A13=$B$6,B13&gt;0),MIN($B$5,B13-E13),0)</f>
        <v>0</v>
      </c>
      <c r="G13" s="7" t="n">
        <f aca="false">MAX(B13-E13-F13,0)</f>
        <v>360953.320414749</v>
      </c>
    </row>
    <row r="14" customFormat="false" ht="15" hidden="false" customHeight="false" outlineLevel="0" collapsed="false">
      <c r="A14" s="16" t="n">
        <f aca="false">A13+1</f>
        <v>5</v>
      </c>
      <c r="B14" s="7" t="n">
        <f aca="false">G13</f>
        <v>360953.320414749</v>
      </c>
      <c r="C14" s="7" t="n">
        <f aca="false">$E$6</f>
        <v>12813.1798963127</v>
      </c>
      <c r="D14" s="7" t="n">
        <f aca="false">IF(B14&lt;=0,0,ROUND(B14*$E$4/12,2))</f>
        <v>2857.55</v>
      </c>
      <c r="E14" s="7" t="n">
        <f aca="false">IF(B14&lt;=0,0,MIN(C14-D14,B14))</f>
        <v>9955.62989631268</v>
      </c>
      <c r="F14" s="7" t="n">
        <f aca="false">IF(AND(A14=$B$6,B14&gt;0),MIN($B$5,B14-E14),0)</f>
        <v>0</v>
      </c>
      <c r="G14" s="7" t="n">
        <f aca="false">MAX(B14-E14-F14,0)</f>
        <v>350997.690518437</v>
      </c>
    </row>
    <row r="15" customFormat="false" ht="15" hidden="false" customHeight="false" outlineLevel="0" collapsed="false">
      <c r="A15" s="16" t="n">
        <f aca="false">A14+1</f>
        <v>6</v>
      </c>
      <c r="B15" s="7" t="n">
        <f aca="false">G14</f>
        <v>350997.690518437</v>
      </c>
      <c r="C15" s="7" t="n">
        <f aca="false">$E$6</f>
        <v>12813.1798963127</v>
      </c>
      <c r="D15" s="7" t="n">
        <f aca="false">IF(B15&lt;=0,0,ROUND(B15*$E$4/12,2))</f>
        <v>2778.73</v>
      </c>
      <c r="E15" s="7" t="n">
        <f aca="false">IF(B15&lt;=0,0,MIN(C15-D15,B15))</f>
        <v>10034.4498963127</v>
      </c>
      <c r="F15" s="7" t="n">
        <f aca="false">IF(AND(A15=$B$6,B15&gt;0),MIN($B$5,B15-E15),0)</f>
        <v>20000</v>
      </c>
      <c r="G15" s="7" t="n">
        <f aca="false">MAX(B15-E15-F15,0)</f>
        <v>320963.240622124</v>
      </c>
    </row>
    <row r="16" customFormat="false" ht="15" hidden="false" customHeight="false" outlineLevel="0" collapsed="false">
      <c r="A16" s="16" t="n">
        <f aca="false">A15+1</f>
        <v>7</v>
      </c>
      <c r="B16" s="7" t="n">
        <f aca="false">G15</f>
        <v>320963.240622124</v>
      </c>
      <c r="C16" s="7" t="n">
        <f aca="false">$E$6</f>
        <v>12813.1798963127</v>
      </c>
      <c r="D16" s="7" t="n">
        <f aca="false">IF(B16&lt;=0,0,ROUND(B16*$E$4/12,2))</f>
        <v>2540.96</v>
      </c>
      <c r="E16" s="7" t="n">
        <f aca="false">IF(B16&lt;=0,0,MIN(C16-D16,B16))</f>
        <v>10272.2198963127</v>
      </c>
      <c r="F16" s="7" t="n">
        <f aca="false">IF(AND(A16=$B$6,B16&gt;0),MIN($B$5,B16-E16),0)</f>
        <v>0</v>
      </c>
      <c r="G16" s="7" t="n">
        <f aca="false">MAX(B16-E16-F16,0)</f>
        <v>310691.020725811</v>
      </c>
    </row>
    <row r="17" customFormat="false" ht="15" hidden="false" customHeight="false" outlineLevel="0" collapsed="false">
      <c r="A17" s="16" t="n">
        <f aca="false">A16+1</f>
        <v>8</v>
      </c>
      <c r="B17" s="7" t="n">
        <f aca="false">G16</f>
        <v>310691.020725811</v>
      </c>
      <c r="C17" s="7" t="n">
        <f aca="false">$E$6</f>
        <v>12813.1798963127</v>
      </c>
      <c r="D17" s="7" t="n">
        <f aca="false">IF(B17&lt;=0,0,ROUND(B17*$E$4/12,2))</f>
        <v>2459.64</v>
      </c>
      <c r="E17" s="7" t="n">
        <f aca="false">IF(B17&lt;=0,0,MIN(C17-D17,B17))</f>
        <v>10353.5398963127</v>
      </c>
      <c r="F17" s="7" t="n">
        <f aca="false">IF(AND(A17=$B$6,B17&gt;0),MIN($B$5,B17-E17),0)</f>
        <v>0</v>
      </c>
      <c r="G17" s="7" t="n">
        <f aca="false">MAX(B17-E17-F17,0)</f>
        <v>300337.480829499</v>
      </c>
    </row>
    <row r="18" customFormat="false" ht="15" hidden="false" customHeight="false" outlineLevel="0" collapsed="false">
      <c r="A18" s="16" t="n">
        <f aca="false">A17+1</f>
        <v>9</v>
      </c>
      <c r="B18" s="7" t="n">
        <f aca="false">G17</f>
        <v>300337.480829499</v>
      </c>
      <c r="C18" s="7" t="n">
        <f aca="false">$E$6</f>
        <v>12813.1798963127</v>
      </c>
      <c r="D18" s="7" t="n">
        <f aca="false">IF(B18&lt;=0,0,ROUND(B18*$E$4/12,2))</f>
        <v>2377.67</v>
      </c>
      <c r="E18" s="7" t="n">
        <f aca="false">IF(B18&lt;=0,0,MIN(C18-D18,B18))</f>
        <v>10435.5098963127</v>
      </c>
      <c r="F18" s="7" t="n">
        <f aca="false">IF(AND(A18=$B$6,B18&gt;0),MIN($B$5,B18-E18),0)</f>
        <v>0</v>
      </c>
      <c r="G18" s="7" t="n">
        <f aca="false">MAX(B18-E18-F18,0)</f>
        <v>289901.970933186</v>
      </c>
    </row>
    <row r="19" customFormat="false" ht="15" hidden="false" customHeight="false" outlineLevel="0" collapsed="false">
      <c r="A19" s="16" t="n">
        <f aca="false">A18+1</f>
        <v>10</v>
      </c>
      <c r="B19" s="7" t="n">
        <f aca="false">G18</f>
        <v>289901.970933186</v>
      </c>
      <c r="C19" s="7" t="n">
        <f aca="false">$E$6</f>
        <v>12813.1798963127</v>
      </c>
      <c r="D19" s="7" t="n">
        <f aca="false">IF(B19&lt;=0,0,ROUND(B19*$E$4/12,2))</f>
        <v>2295.06</v>
      </c>
      <c r="E19" s="7" t="n">
        <f aca="false">IF(B19&lt;=0,0,MIN(C19-D19,B19))</f>
        <v>10518.1198963127</v>
      </c>
      <c r="F19" s="7" t="n">
        <f aca="false">IF(AND(A19=$B$6,B19&gt;0),MIN($B$5,B19-E19),0)</f>
        <v>0</v>
      </c>
      <c r="G19" s="7" t="n">
        <f aca="false">MAX(B19-E19-F19,0)</f>
        <v>279383.851036873</v>
      </c>
    </row>
    <row r="20" customFormat="false" ht="15" hidden="false" customHeight="false" outlineLevel="0" collapsed="false">
      <c r="A20" s="16" t="n">
        <f aca="false">A19+1</f>
        <v>11</v>
      </c>
      <c r="B20" s="7" t="n">
        <f aca="false">G19</f>
        <v>279383.851036873</v>
      </c>
      <c r="C20" s="7" t="n">
        <f aca="false">$E$6</f>
        <v>12813.1798963127</v>
      </c>
      <c r="D20" s="7" t="n">
        <f aca="false">IF(B20&lt;=0,0,ROUND(B20*$E$4/12,2))</f>
        <v>2211.79</v>
      </c>
      <c r="E20" s="7" t="n">
        <f aca="false">IF(B20&lt;=0,0,MIN(C20-D20,B20))</f>
        <v>10601.3898963127</v>
      </c>
      <c r="F20" s="7" t="n">
        <f aca="false">IF(AND(A20=$B$6,B20&gt;0),MIN($B$5,B20-E20),0)</f>
        <v>0</v>
      </c>
      <c r="G20" s="7" t="n">
        <f aca="false">MAX(B20-E20-F20,0)</f>
        <v>268782.461140561</v>
      </c>
    </row>
    <row r="21" customFormat="false" ht="15" hidden="false" customHeight="false" outlineLevel="0" collapsed="false">
      <c r="A21" s="16" t="n">
        <f aca="false">A20+1</f>
        <v>12</v>
      </c>
      <c r="B21" s="7" t="n">
        <f aca="false">G20</f>
        <v>268782.461140561</v>
      </c>
      <c r="C21" s="7" t="n">
        <f aca="false">$E$6</f>
        <v>12813.1798963127</v>
      </c>
      <c r="D21" s="7" t="n">
        <f aca="false">IF(B21&lt;=0,0,ROUND(B21*$E$4/12,2))</f>
        <v>2127.86</v>
      </c>
      <c r="E21" s="7" t="n">
        <f aca="false">IF(B21&lt;=0,0,MIN(C21-D21,B21))</f>
        <v>10685.3198963127</v>
      </c>
      <c r="F21" s="7" t="n">
        <f aca="false">IF(AND(A21=$B$6,B21&gt;0),MIN($B$5,B21-E21),0)</f>
        <v>0</v>
      </c>
      <c r="G21" s="7" t="n">
        <f aca="false">MAX(B21-E21-F21,0)</f>
        <v>258097.141244248</v>
      </c>
    </row>
    <row r="22" customFormat="false" ht="15" hidden="false" customHeight="false" outlineLevel="0" collapsed="false">
      <c r="A22" s="16" t="n">
        <f aca="false">A21+1</f>
        <v>13</v>
      </c>
      <c r="B22" s="7" t="n">
        <f aca="false">G21</f>
        <v>258097.141244248</v>
      </c>
      <c r="C22" s="7" t="n">
        <f aca="false">$E$6</f>
        <v>12813.1798963127</v>
      </c>
      <c r="D22" s="7" t="n">
        <f aca="false">IF(B22&lt;=0,0,ROUND(B22*$E$4/12,2))</f>
        <v>2043.27</v>
      </c>
      <c r="E22" s="7" t="n">
        <f aca="false">IF(B22&lt;=0,0,MIN(C22-D22,B22))</f>
        <v>10769.9098963127</v>
      </c>
      <c r="F22" s="7" t="n">
        <f aca="false">IF(AND(A22=$B$6,B22&gt;0),MIN($B$5,B22-E22),0)</f>
        <v>0</v>
      </c>
      <c r="G22" s="7" t="n">
        <f aca="false">MAX(B22-E22-F22,0)</f>
        <v>247327.231347935</v>
      </c>
    </row>
    <row r="23" customFormat="false" ht="15" hidden="false" customHeight="false" outlineLevel="0" collapsed="false">
      <c r="A23" s="16" t="n">
        <f aca="false">A22+1</f>
        <v>14</v>
      </c>
      <c r="B23" s="7" t="n">
        <f aca="false">G22</f>
        <v>247327.231347935</v>
      </c>
      <c r="C23" s="7" t="n">
        <f aca="false">$E$6</f>
        <v>12813.1798963127</v>
      </c>
      <c r="D23" s="7" t="n">
        <f aca="false">IF(B23&lt;=0,0,ROUND(B23*$E$4/12,2))</f>
        <v>1958.01</v>
      </c>
      <c r="E23" s="7" t="n">
        <f aca="false">IF(B23&lt;=0,0,MIN(C23-D23,B23))</f>
        <v>10855.1698963127</v>
      </c>
      <c r="F23" s="7" t="n">
        <f aca="false">IF(AND(A23=$B$6,B23&gt;0),MIN($B$5,B23-E23),0)</f>
        <v>0</v>
      </c>
      <c r="G23" s="7" t="n">
        <f aca="false">MAX(B23-E23-F23,0)</f>
        <v>236472.061451623</v>
      </c>
    </row>
    <row r="24" customFormat="false" ht="15" hidden="false" customHeight="false" outlineLevel="0" collapsed="false">
      <c r="A24" s="16" t="n">
        <f aca="false">A23+1</f>
        <v>15</v>
      </c>
      <c r="B24" s="7" t="n">
        <f aca="false">G23</f>
        <v>236472.061451623</v>
      </c>
      <c r="C24" s="7" t="n">
        <f aca="false">$E$6</f>
        <v>12813.1798963127</v>
      </c>
      <c r="D24" s="7" t="n">
        <f aca="false">IF(B24&lt;=0,0,ROUND(B24*$E$4/12,2))</f>
        <v>1872.07</v>
      </c>
      <c r="E24" s="7" t="n">
        <f aca="false">IF(B24&lt;=0,0,MIN(C24-D24,B24))</f>
        <v>10941.1098963127</v>
      </c>
      <c r="F24" s="7" t="n">
        <f aca="false">IF(AND(A24=$B$6,B24&gt;0),MIN($B$5,B24-E24),0)</f>
        <v>0</v>
      </c>
      <c r="G24" s="7" t="n">
        <f aca="false">MAX(B24-E24-F24,0)</f>
        <v>225530.95155531</v>
      </c>
    </row>
    <row r="25" customFormat="false" ht="15" hidden="false" customHeight="false" outlineLevel="0" collapsed="false">
      <c r="A25" s="16" t="n">
        <f aca="false">A24+1</f>
        <v>16</v>
      </c>
      <c r="B25" s="7" t="n">
        <f aca="false">G24</f>
        <v>225530.95155531</v>
      </c>
      <c r="C25" s="7" t="n">
        <f aca="false">$E$6</f>
        <v>12813.1798963127</v>
      </c>
      <c r="D25" s="7" t="n">
        <f aca="false">IF(B25&lt;=0,0,ROUND(B25*$E$4/12,2))</f>
        <v>1785.45</v>
      </c>
      <c r="E25" s="7" t="n">
        <f aca="false">IF(B25&lt;=0,0,MIN(C25-D25,B25))</f>
        <v>11027.7298963127</v>
      </c>
      <c r="F25" s="7" t="n">
        <f aca="false">IF(AND(A25=$B$6,B25&gt;0),MIN($B$5,B25-E25),0)</f>
        <v>0</v>
      </c>
      <c r="G25" s="7" t="n">
        <f aca="false">MAX(B25-E25-F25,0)</f>
        <v>214503.221658997</v>
      </c>
    </row>
    <row r="26" customFormat="false" ht="15" hidden="false" customHeight="false" outlineLevel="0" collapsed="false">
      <c r="A26" s="16" t="n">
        <f aca="false">A25+1</f>
        <v>17</v>
      </c>
      <c r="B26" s="7" t="n">
        <f aca="false">G25</f>
        <v>214503.221658997</v>
      </c>
      <c r="C26" s="7" t="n">
        <f aca="false">$E$6</f>
        <v>12813.1798963127</v>
      </c>
      <c r="D26" s="7" t="n">
        <f aca="false">IF(B26&lt;=0,0,ROUND(B26*$E$4/12,2))</f>
        <v>1698.15</v>
      </c>
      <c r="E26" s="7" t="n">
        <f aca="false">IF(B26&lt;=0,0,MIN(C26-D26,B26))</f>
        <v>11115.0298963127</v>
      </c>
      <c r="F26" s="7" t="n">
        <f aca="false">IF(AND(A26=$B$6,B26&gt;0),MIN($B$5,B26-E26),0)</f>
        <v>0</v>
      </c>
      <c r="G26" s="7" t="n">
        <f aca="false">MAX(B26-E26-F26,0)</f>
        <v>203388.191762685</v>
      </c>
    </row>
    <row r="27" customFormat="false" ht="15" hidden="false" customHeight="false" outlineLevel="0" collapsed="false">
      <c r="A27" s="16" t="n">
        <f aca="false">A26+1</f>
        <v>18</v>
      </c>
      <c r="B27" s="7" t="n">
        <f aca="false">G26</f>
        <v>203388.191762685</v>
      </c>
      <c r="C27" s="7" t="n">
        <f aca="false">$E$6</f>
        <v>12813.1798963127</v>
      </c>
      <c r="D27" s="7" t="n">
        <f aca="false">IF(B27&lt;=0,0,ROUND(B27*$E$4/12,2))</f>
        <v>1610.16</v>
      </c>
      <c r="E27" s="7" t="n">
        <f aca="false">IF(B27&lt;=0,0,MIN(C27-D27,B27))</f>
        <v>11203.0198963127</v>
      </c>
      <c r="F27" s="7" t="n">
        <f aca="false">IF(AND(A27=$B$6,B27&gt;0),MIN($B$5,B27-E27),0)</f>
        <v>0</v>
      </c>
      <c r="G27" s="7" t="n">
        <f aca="false">MAX(B27-E27-F27,0)</f>
        <v>192185.171866372</v>
      </c>
    </row>
    <row r="28" customFormat="false" ht="15" hidden="false" customHeight="false" outlineLevel="0" collapsed="false">
      <c r="A28" s="16" t="n">
        <f aca="false">A27+1</f>
        <v>19</v>
      </c>
      <c r="B28" s="7" t="n">
        <f aca="false">G27</f>
        <v>192185.171866372</v>
      </c>
      <c r="C28" s="7" t="n">
        <f aca="false">$E$6</f>
        <v>12813.1798963127</v>
      </c>
      <c r="D28" s="7" t="n">
        <f aca="false">IF(B28&lt;=0,0,ROUND(B28*$E$4/12,2))</f>
        <v>1521.47</v>
      </c>
      <c r="E28" s="7" t="n">
        <f aca="false">IF(B28&lt;=0,0,MIN(C28-D28,B28))</f>
        <v>11291.7098963127</v>
      </c>
      <c r="F28" s="7" t="n">
        <f aca="false">IF(AND(A28=$B$6,B28&gt;0),MIN($B$5,B28-E28),0)</f>
        <v>0</v>
      </c>
      <c r="G28" s="7" t="n">
        <f aca="false">MAX(B28-E28-F28,0)</f>
        <v>180893.461970059</v>
      </c>
    </row>
    <row r="29" customFormat="false" ht="15" hidden="false" customHeight="false" outlineLevel="0" collapsed="false">
      <c r="A29" s="16" t="n">
        <f aca="false">A28+1</f>
        <v>20</v>
      </c>
      <c r="B29" s="7" t="n">
        <f aca="false">G28</f>
        <v>180893.461970059</v>
      </c>
      <c r="C29" s="7" t="n">
        <f aca="false">$E$6</f>
        <v>12813.1798963127</v>
      </c>
      <c r="D29" s="7" t="n">
        <f aca="false">IF(B29&lt;=0,0,ROUND(B29*$E$4/12,2))</f>
        <v>1432.07</v>
      </c>
      <c r="E29" s="7" t="n">
        <f aca="false">IF(B29&lt;=0,0,MIN(C29-D29,B29))</f>
        <v>11381.1098963127</v>
      </c>
      <c r="F29" s="7" t="n">
        <f aca="false">IF(AND(A29=$B$6,B29&gt;0),MIN($B$5,B29-E29),0)</f>
        <v>0</v>
      </c>
      <c r="G29" s="7" t="n">
        <f aca="false">MAX(B29-E29-F29,0)</f>
        <v>169512.352073747</v>
      </c>
    </row>
    <row r="30" customFormat="false" ht="15" hidden="false" customHeight="false" outlineLevel="0" collapsed="false">
      <c r="A30" s="16" t="n">
        <f aca="false">A29+1</f>
        <v>21</v>
      </c>
      <c r="B30" s="7" t="n">
        <f aca="false">G29</f>
        <v>169512.352073747</v>
      </c>
      <c r="C30" s="7" t="n">
        <f aca="false">$E$6</f>
        <v>12813.1798963127</v>
      </c>
      <c r="D30" s="7" t="n">
        <f aca="false">IF(B30&lt;=0,0,ROUND(B30*$E$4/12,2))</f>
        <v>1341.97</v>
      </c>
      <c r="E30" s="7" t="n">
        <f aca="false">IF(B30&lt;=0,0,MIN(C30-D30,B30))</f>
        <v>11471.2098963127</v>
      </c>
      <c r="F30" s="7" t="n">
        <f aca="false">IF(AND(A30=$B$6,B30&gt;0),MIN($B$5,B30-E30),0)</f>
        <v>0</v>
      </c>
      <c r="G30" s="7" t="n">
        <f aca="false">MAX(B30-E30-F30,0)</f>
        <v>158041.142177434</v>
      </c>
    </row>
    <row r="31" customFormat="false" ht="15" hidden="false" customHeight="false" outlineLevel="0" collapsed="false">
      <c r="A31" s="16" t="n">
        <f aca="false">A30+1</f>
        <v>22</v>
      </c>
      <c r="B31" s="7" t="n">
        <f aca="false">G30</f>
        <v>158041.142177434</v>
      </c>
      <c r="C31" s="7" t="n">
        <f aca="false">$E$6</f>
        <v>12813.1798963127</v>
      </c>
      <c r="D31" s="7" t="n">
        <f aca="false">IF(B31&lt;=0,0,ROUND(B31*$E$4/12,2))</f>
        <v>1251.16</v>
      </c>
      <c r="E31" s="7" t="n">
        <f aca="false">IF(B31&lt;=0,0,MIN(C31-D31,B31))</f>
        <v>11562.0198963127</v>
      </c>
      <c r="F31" s="7" t="n">
        <f aca="false">IF(AND(A31=$B$6,B31&gt;0),MIN($B$5,B31-E31),0)</f>
        <v>0</v>
      </c>
      <c r="G31" s="7" t="n">
        <f aca="false">MAX(B31-E31-F31,0)</f>
        <v>146479.122281121</v>
      </c>
    </row>
    <row r="32" customFormat="false" ht="15" hidden="false" customHeight="false" outlineLevel="0" collapsed="false">
      <c r="A32" s="16" t="n">
        <f aca="false">A31+1</f>
        <v>23</v>
      </c>
      <c r="B32" s="7" t="n">
        <f aca="false">G31</f>
        <v>146479.122281121</v>
      </c>
      <c r="C32" s="7" t="n">
        <f aca="false">$E$6</f>
        <v>12813.1798963127</v>
      </c>
      <c r="D32" s="7" t="n">
        <f aca="false">IF(B32&lt;=0,0,ROUND(B32*$E$4/12,2))</f>
        <v>1159.63</v>
      </c>
      <c r="E32" s="7" t="n">
        <f aca="false">IF(B32&lt;=0,0,MIN(C32-D32,B32))</f>
        <v>11653.5498963127</v>
      </c>
      <c r="F32" s="7" t="n">
        <f aca="false">IF(AND(A32=$B$6,B32&gt;0),MIN($B$5,B32-E32),0)</f>
        <v>0</v>
      </c>
      <c r="G32" s="7" t="n">
        <f aca="false">MAX(B32-E32-F32,0)</f>
        <v>134825.572384809</v>
      </c>
    </row>
    <row r="33" customFormat="false" ht="15" hidden="false" customHeight="false" outlineLevel="0" collapsed="false">
      <c r="A33" s="16" t="n">
        <f aca="false">A32+1</f>
        <v>24</v>
      </c>
      <c r="B33" s="7" t="n">
        <f aca="false">G32</f>
        <v>134825.572384809</v>
      </c>
      <c r="C33" s="7" t="n">
        <f aca="false">$E$6</f>
        <v>12813.1798963127</v>
      </c>
      <c r="D33" s="7" t="n">
        <f aca="false">IF(B33&lt;=0,0,ROUND(B33*$E$4/12,2))</f>
        <v>1067.37</v>
      </c>
      <c r="E33" s="7" t="n">
        <f aca="false">IF(B33&lt;=0,0,MIN(C33-D33,B33))</f>
        <v>11745.8098963127</v>
      </c>
      <c r="F33" s="7" t="n">
        <f aca="false">IF(AND(A33=$B$6,B33&gt;0),MIN($B$5,B33-E33),0)</f>
        <v>0</v>
      </c>
      <c r="G33" s="7" t="n">
        <f aca="false">MAX(B33-E33-F33,0)</f>
        <v>123079.762488496</v>
      </c>
    </row>
    <row r="34" customFormat="false" ht="15" hidden="false" customHeight="false" outlineLevel="0" collapsed="false">
      <c r="A34" s="16" t="n">
        <f aca="false">A33+1</f>
        <v>25</v>
      </c>
      <c r="B34" s="7" t="n">
        <f aca="false">G33</f>
        <v>123079.762488496</v>
      </c>
      <c r="C34" s="7" t="n">
        <f aca="false">$E$6</f>
        <v>12813.1798963127</v>
      </c>
      <c r="D34" s="7" t="n">
        <f aca="false">IF(B34&lt;=0,0,ROUND(B34*$E$4/12,2))</f>
        <v>974.38</v>
      </c>
      <c r="E34" s="7" t="n">
        <f aca="false">IF(B34&lt;=0,0,MIN(C34-D34,B34))</f>
        <v>11838.7998963127</v>
      </c>
      <c r="F34" s="7" t="n">
        <f aca="false">IF(AND(A34=$B$6,B34&gt;0),MIN($B$5,B34-E34),0)</f>
        <v>0</v>
      </c>
      <c r="G34" s="7" t="n">
        <f aca="false">MAX(B34-E34-F34,0)</f>
        <v>111240.962592183</v>
      </c>
    </row>
    <row r="35" customFormat="false" ht="15" hidden="false" customHeight="false" outlineLevel="0" collapsed="false">
      <c r="A35" s="16" t="n">
        <f aca="false">A34+1</f>
        <v>26</v>
      </c>
      <c r="B35" s="7" t="n">
        <f aca="false">G34</f>
        <v>111240.962592183</v>
      </c>
      <c r="C35" s="7" t="n">
        <f aca="false">$E$6</f>
        <v>12813.1798963127</v>
      </c>
      <c r="D35" s="7" t="n">
        <f aca="false">IF(B35&lt;=0,0,ROUND(B35*$E$4/12,2))</f>
        <v>880.66</v>
      </c>
      <c r="E35" s="7" t="n">
        <f aca="false">IF(B35&lt;=0,0,MIN(C35-D35,B35))</f>
        <v>11932.5198963127</v>
      </c>
      <c r="F35" s="7" t="n">
        <f aca="false">IF(AND(A35=$B$6,B35&gt;0),MIN($B$5,B35-E35),0)</f>
        <v>0</v>
      </c>
      <c r="G35" s="7" t="n">
        <f aca="false">MAX(B35-E35-F35,0)</f>
        <v>99308.4426958705</v>
      </c>
    </row>
    <row r="36" customFormat="false" ht="15" hidden="false" customHeight="false" outlineLevel="0" collapsed="false">
      <c r="A36" s="16" t="n">
        <f aca="false">A35+1</f>
        <v>27</v>
      </c>
      <c r="B36" s="7" t="n">
        <f aca="false">G35</f>
        <v>99308.4426958705</v>
      </c>
      <c r="C36" s="7" t="n">
        <f aca="false">$E$6</f>
        <v>12813.1798963127</v>
      </c>
      <c r="D36" s="7" t="n">
        <f aca="false">IF(B36&lt;=0,0,ROUND(B36*$E$4/12,2))</f>
        <v>786.19</v>
      </c>
      <c r="E36" s="7" t="n">
        <f aca="false">IF(B36&lt;=0,0,MIN(C36-D36,B36))</f>
        <v>12026.9898963127</v>
      </c>
      <c r="F36" s="7" t="n">
        <f aca="false">IF(AND(A36=$B$6,B36&gt;0),MIN($B$5,B36-E36),0)</f>
        <v>0</v>
      </c>
      <c r="G36" s="7" t="n">
        <f aca="false">MAX(B36-E36-F36,0)</f>
        <v>87281.4527995578</v>
      </c>
    </row>
    <row r="37" customFormat="false" ht="15" hidden="false" customHeight="false" outlineLevel="0" collapsed="false">
      <c r="A37" s="16" t="n">
        <f aca="false">A36+1</f>
        <v>28</v>
      </c>
      <c r="B37" s="7" t="n">
        <f aca="false">G36</f>
        <v>87281.4527995578</v>
      </c>
      <c r="C37" s="7" t="n">
        <f aca="false">$E$6</f>
        <v>12813.1798963127</v>
      </c>
      <c r="D37" s="7" t="n">
        <f aca="false">IF(B37&lt;=0,0,ROUND(B37*$E$4/12,2))</f>
        <v>690.98</v>
      </c>
      <c r="E37" s="7" t="n">
        <f aca="false">IF(B37&lt;=0,0,MIN(C37-D37,B37))</f>
        <v>12122.1998963127</v>
      </c>
      <c r="F37" s="7" t="n">
        <f aca="false">IF(AND(A37=$B$6,B37&gt;0),MIN($B$5,B37-E37),0)</f>
        <v>0</v>
      </c>
      <c r="G37" s="7" t="n">
        <f aca="false">MAX(B37-E37-F37,0)</f>
        <v>75159.2529032452</v>
      </c>
    </row>
    <row r="38" customFormat="false" ht="15" hidden="false" customHeight="false" outlineLevel="0" collapsed="false">
      <c r="A38" s="16" t="n">
        <f aca="false">A37+1</f>
        <v>29</v>
      </c>
      <c r="B38" s="7" t="n">
        <f aca="false">G37</f>
        <v>75159.2529032452</v>
      </c>
      <c r="C38" s="7" t="n">
        <f aca="false">$E$6</f>
        <v>12813.1798963127</v>
      </c>
      <c r="D38" s="7" t="n">
        <f aca="false">IF(B38&lt;=0,0,ROUND(B38*$E$4/12,2))</f>
        <v>595.01</v>
      </c>
      <c r="E38" s="7" t="n">
        <f aca="false">IF(B38&lt;=0,0,MIN(C38-D38,B38))</f>
        <v>12218.1698963127</v>
      </c>
      <c r="F38" s="7" t="n">
        <f aca="false">IF(AND(A38=$B$6,B38&gt;0),MIN($B$5,B38-E38),0)</f>
        <v>0</v>
      </c>
      <c r="G38" s="7" t="n">
        <f aca="false">MAX(B38-E38-F38,0)</f>
        <v>62941.0830069325</v>
      </c>
    </row>
    <row r="39" customFormat="false" ht="15" hidden="false" customHeight="false" outlineLevel="0" collapsed="false">
      <c r="A39" s="16" t="n">
        <f aca="false">A38+1</f>
        <v>30</v>
      </c>
      <c r="B39" s="7" t="n">
        <f aca="false">G38</f>
        <v>62941.0830069325</v>
      </c>
      <c r="C39" s="7" t="n">
        <f aca="false">$E$6</f>
        <v>12813.1798963127</v>
      </c>
      <c r="D39" s="7" t="n">
        <f aca="false">IF(B39&lt;=0,0,ROUND(B39*$E$4/12,2))</f>
        <v>498.28</v>
      </c>
      <c r="E39" s="7" t="n">
        <f aca="false">IF(B39&lt;=0,0,MIN(C39-D39,B39))</f>
        <v>12314.8998963127</v>
      </c>
      <c r="F39" s="7" t="n">
        <f aca="false">IF(AND(A39=$B$6,B39&gt;0),MIN($B$5,B39-E39),0)</f>
        <v>0</v>
      </c>
      <c r="G39" s="7" t="n">
        <f aca="false">MAX(B39-E39-F39,0)</f>
        <v>50626.1831106198</v>
      </c>
    </row>
    <row r="40" customFormat="false" ht="15" hidden="false" customHeight="false" outlineLevel="0" collapsed="false">
      <c r="A40" s="16" t="n">
        <f aca="false">A39+1</f>
        <v>31</v>
      </c>
      <c r="B40" s="7" t="n">
        <f aca="false">G39</f>
        <v>50626.1831106198</v>
      </c>
      <c r="C40" s="7" t="n">
        <f aca="false">$E$6</f>
        <v>12813.1798963127</v>
      </c>
      <c r="D40" s="7" t="n">
        <f aca="false">IF(B40&lt;=0,0,ROUND(B40*$E$4/12,2))</f>
        <v>400.79</v>
      </c>
      <c r="E40" s="7" t="n">
        <f aca="false">IF(B40&lt;=0,0,MIN(C40-D40,B40))</f>
        <v>12412.3898963127</v>
      </c>
      <c r="F40" s="7" t="n">
        <f aca="false">IF(AND(A40=$B$6,B40&gt;0),MIN($B$5,B40-E40),0)</f>
        <v>0</v>
      </c>
      <c r="G40" s="7" t="n">
        <f aca="false">MAX(B40-E40-F40,0)</f>
        <v>38213.7932143071</v>
      </c>
    </row>
    <row r="41" customFormat="false" ht="15" hidden="false" customHeight="false" outlineLevel="0" collapsed="false">
      <c r="A41" s="16" t="n">
        <f aca="false">A40+1</f>
        <v>32</v>
      </c>
      <c r="B41" s="7" t="n">
        <f aca="false">G40</f>
        <v>38213.7932143071</v>
      </c>
      <c r="C41" s="7" t="n">
        <f aca="false">$E$6</f>
        <v>12813.1798963127</v>
      </c>
      <c r="D41" s="7" t="n">
        <f aca="false">IF(B41&lt;=0,0,ROUND(B41*$E$4/12,2))</f>
        <v>302.53</v>
      </c>
      <c r="E41" s="7" t="n">
        <f aca="false">IF(B41&lt;=0,0,MIN(C41-D41,B41))</f>
        <v>12510.6498963127</v>
      </c>
      <c r="F41" s="7" t="n">
        <f aca="false">IF(AND(A41=$B$6,B41&gt;0),MIN($B$5,B41-E41),0)</f>
        <v>0</v>
      </c>
      <c r="G41" s="7" t="n">
        <f aca="false">MAX(B41-E41-F41,0)</f>
        <v>25703.1433179945</v>
      </c>
    </row>
    <row r="42" customFormat="false" ht="15" hidden="false" customHeight="false" outlineLevel="0" collapsed="false">
      <c r="A42" s="16" t="n">
        <f aca="false">A41+1</f>
        <v>33</v>
      </c>
      <c r="B42" s="7" t="n">
        <f aca="false">G41</f>
        <v>25703.1433179945</v>
      </c>
      <c r="C42" s="7" t="n">
        <f aca="false">$E$6</f>
        <v>12813.1798963127</v>
      </c>
      <c r="D42" s="7" t="n">
        <f aca="false">IF(B42&lt;=0,0,ROUND(B42*$E$4/12,2))</f>
        <v>203.48</v>
      </c>
      <c r="E42" s="7" t="n">
        <f aca="false">IF(B42&lt;=0,0,MIN(C42-D42,B42))</f>
        <v>12609.6998963127</v>
      </c>
      <c r="F42" s="7" t="n">
        <f aca="false">IF(AND(A42=$B$6,B42&gt;0),MIN($B$5,B42-E42),0)</f>
        <v>0</v>
      </c>
      <c r="G42" s="7" t="n">
        <f aca="false">MAX(B42-E42-F42,0)</f>
        <v>13093.4434216818</v>
      </c>
    </row>
    <row r="43" customFormat="false" ht="15" hidden="false" customHeight="false" outlineLevel="0" collapsed="false">
      <c r="A43" s="16" t="n">
        <f aca="false">A42+1</f>
        <v>34</v>
      </c>
      <c r="B43" s="7" t="n">
        <f aca="false">G42</f>
        <v>13093.4434216818</v>
      </c>
      <c r="C43" s="7" t="n">
        <f aca="false">$E$6</f>
        <v>12813.1798963127</v>
      </c>
      <c r="D43" s="7" t="n">
        <f aca="false">IF(B43&lt;=0,0,ROUND(B43*$E$4/12,2))</f>
        <v>103.66</v>
      </c>
      <c r="E43" s="7" t="n">
        <f aca="false">IF(B43&lt;=0,0,MIN(C43-D43,B43))</f>
        <v>12709.5198963127</v>
      </c>
      <c r="F43" s="7" t="n">
        <f aca="false">IF(AND(A43=$B$6,B43&gt;0),MIN($B$5,B43-E43),0)</f>
        <v>0</v>
      </c>
      <c r="G43" s="7" t="n">
        <f aca="false">MAX(B43-E43-F43,0)</f>
        <v>383.923525369115</v>
      </c>
    </row>
    <row r="44" customFormat="false" ht="15" hidden="false" customHeight="false" outlineLevel="0" collapsed="false">
      <c r="A44" s="16" t="n">
        <f aca="false">A43+1</f>
        <v>35</v>
      </c>
      <c r="B44" s="7" t="n">
        <f aca="false">G43</f>
        <v>383.923525369115</v>
      </c>
      <c r="C44" s="7" t="n">
        <f aca="false">$E$6</f>
        <v>12813.1798963127</v>
      </c>
      <c r="D44" s="7" t="n">
        <f aca="false">IF(B44&lt;=0,0,ROUND(B44*$E$4/12,2))</f>
        <v>3.04</v>
      </c>
      <c r="E44" s="7" t="n">
        <f aca="false">IF(B44&lt;=0,0,MIN(C44-D44,B44))</f>
        <v>383.923525369115</v>
      </c>
      <c r="F44" s="7" t="n">
        <f aca="false">IF(AND(A44=$B$6,B44&gt;0),MIN($B$5,B44-E44),0)</f>
        <v>0</v>
      </c>
      <c r="G44" s="7" t="n">
        <f aca="false">MAX(B44-E44-F44,0)</f>
        <v>0</v>
      </c>
    </row>
    <row r="45" customFormat="false" ht="15" hidden="false" customHeight="false" outlineLevel="0" collapsed="false">
      <c r="A45" s="16" t="n">
        <f aca="false">A44+1</f>
        <v>36</v>
      </c>
      <c r="B45" s="7" t="n">
        <f aca="false">G44</f>
        <v>0</v>
      </c>
      <c r="C45" s="7" t="n">
        <f aca="false">$E$6</f>
        <v>12813.1798963127</v>
      </c>
      <c r="D45" s="7" t="n">
        <f aca="false">IF(B45&lt;=0,0,ROUND(B45*$E$4/12,2))</f>
        <v>0</v>
      </c>
      <c r="E45" s="7" t="n">
        <f aca="false">IF(B45&lt;=0,0,MIN(C45-D45,B45))</f>
        <v>0</v>
      </c>
      <c r="F45" s="7" t="n">
        <f aca="false">IF(AND(A45=$B$6,B45&gt;0),MIN($B$5,B45-E45),0)</f>
        <v>0</v>
      </c>
      <c r="G45" s="7" t="n">
        <f aca="false">MAX(B45-E45-F45,0)</f>
        <v>0</v>
      </c>
    </row>
    <row r="47" customFormat="false" ht="15" hidden="false" customHeight="false" outlineLevel="0" collapsed="false">
      <c r="A47" s="17" t="s">
        <v>25</v>
      </c>
      <c r="D47" s="7" t="n">
        <f aca="false">SUM(D10:D45)</f>
        <v>56035.08</v>
      </c>
      <c r="E47" s="7" t="n">
        <f aca="false">SUM(E10:E45)</f>
        <v>380000</v>
      </c>
      <c r="F47" s="7" t="n">
        <f aca="false">SUM(F10:F45)</f>
        <v>20000</v>
      </c>
    </row>
    <row r="49" customFormat="false" ht="15" hidden="false" customHeight="false" outlineLevel="0" collapsed="false">
      <c r="A49" s="11" t="s">
        <v>30</v>
      </c>
      <c r="B49" s="19" t="n">
        <f aca="false">SUMPRODUCT(--(B10:B45&gt;0))</f>
        <v>35</v>
      </c>
    </row>
    <row r="50" customFormat="false" ht="15" hidden="false" customHeight="false" outlineLevel="0" collapsed="false">
      <c r="A50" s="11" t="s">
        <v>31</v>
      </c>
      <c r="B50" s="15" t="n">
        <f aca="false">E5</f>
        <v>36</v>
      </c>
    </row>
    <row r="51" customFormat="false" ht="15" hidden="false" customHeight="false" outlineLevel="0" collapsed="false">
      <c r="A51" s="11" t="s">
        <v>32</v>
      </c>
      <c r="B51" s="19" t="n">
        <f aca="false">B50-B49</f>
        <v>1</v>
      </c>
    </row>
    <row r="52" customFormat="false" ht="15" hidden="false" customHeight="false" outlineLevel="0" collapsed="false">
      <c r="A52" s="11" t="s">
        <v>33</v>
      </c>
      <c r="B52" s="10" t="n">
        <f aca="false">D47</f>
        <v>56035.08</v>
      </c>
    </row>
    <row r="53" customFormat="false" ht="15" hidden="false" customHeight="false" outlineLevel="0" collapsed="false">
      <c r="A53" s="11" t="s">
        <v>34</v>
      </c>
      <c r="B53" s="13" t="n">
        <f aca="false">Amortization!I1</f>
        <v>61274.47</v>
      </c>
    </row>
    <row r="54" customFormat="false" ht="15" hidden="false" customHeight="false" outlineLevel="0" collapsed="false">
      <c r="A54" s="11" t="s">
        <v>35</v>
      </c>
      <c r="B54" s="20" t="n">
        <f aca="false">B53-B52</f>
        <v>5239.39</v>
      </c>
    </row>
    <row r="56" customFormat="false" ht="22.35" hidden="false" customHeight="true" outlineLevel="0" collapsed="false">
      <c r="A56" s="21" t="s">
        <v>36</v>
      </c>
      <c r="B56" s="21"/>
      <c r="C56" s="21"/>
      <c r="D56" s="21"/>
      <c r="E56" s="21"/>
      <c r="F56" s="21"/>
      <c r="G56" s="21"/>
    </row>
  </sheetData>
  <mergeCells count="2">
    <mergeCell ref="A1:G1"/>
    <mergeCell ref="A56:G56"/>
  </mergeCells>
  <dataValidations count="1">
    <dataValidation allowBlank="false" errorStyle="stop" operator="between" showDropDown="false" showErrorMessage="false" showInputMessage="false" sqref="B3" type="list">
      <formula1>Inputs!$A$4:$A$8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22" t="s">
        <v>38</v>
      </c>
      <c r="B3" s="22"/>
      <c r="D3" s="22" t="s">
        <v>39</v>
      </c>
      <c r="E3" s="22"/>
      <c r="G3" s="22" t="s">
        <v>40</v>
      </c>
      <c r="H3" s="22"/>
      <c r="J3" s="22" t="s">
        <v>41</v>
      </c>
      <c r="K3" s="22"/>
    </row>
    <row r="4" customFormat="false" ht="21.75" hidden="false" customHeight="true" outlineLevel="0" collapsed="false">
      <c r="A4" s="23" t="str">
        <f aca="false">INDEX(Inputs!$G$4:$G$8,MATCH(MIN(Inputs!$J$4:$J$8),Inputs!$J$4:$J$8,0))</f>
        <v>State Bank of India</v>
      </c>
      <c r="B4" s="23"/>
      <c r="D4" s="24" t="n">
        <f aca="false">MIN(Inputs!$J$4:$J$8)</f>
        <v>59593.4752759154</v>
      </c>
      <c r="E4" s="24"/>
      <c r="G4" s="24" t="n">
        <f aca="false">Amortization!I1</f>
        <v>61274.47</v>
      </c>
      <c r="H4" s="24"/>
      <c r="J4" s="24" t="n">
        <f aca="false">'Prepayment Simulator'!B54</f>
        <v>5239.39</v>
      </c>
      <c r="K4" s="24"/>
    </row>
    <row r="5" customFormat="false" ht="21.75" hidden="false" customHeight="true" outlineLevel="0" collapsed="false">
      <c r="A5" s="23"/>
      <c r="B5" s="23"/>
      <c r="D5" s="24"/>
      <c r="E5" s="24"/>
      <c r="G5" s="24"/>
      <c r="H5" s="24"/>
      <c r="J5" s="24"/>
      <c r="K5" s="24"/>
    </row>
    <row r="45" customFormat="false" ht="15" hidden="false" customHeight="true" outlineLevel="0" collapsed="false">
      <c r="A45" s="21" t="s">
        <v>42</v>
      </c>
      <c r="B45" s="21"/>
      <c r="C45" s="21"/>
      <c r="D45" s="21"/>
      <c r="E45" s="21"/>
      <c r="F45" s="21"/>
      <c r="G45" s="21"/>
      <c r="H45" s="21"/>
    </row>
  </sheetData>
  <mergeCells count="10">
    <mergeCell ref="A1:H1"/>
    <mergeCell ref="A3:B3"/>
    <mergeCell ref="D3:E3"/>
    <mergeCell ref="G3:H3"/>
    <mergeCell ref="J3:K3"/>
    <mergeCell ref="A4:B5"/>
    <mergeCell ref="D4:E5"/>
    <mergeCell ref="G4:H5"/>
    <mergeCell ref="J4:K5"/>
    <mergeCell ref="A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2026-09-05T13:13:02Z</dcterms:created>
  <dc:creator>openpyxl</dc:creator>
  <dc:description/>
  <dc:language>en-US</dc:language>
  <cp:lastModifiedBy/>
  <dcterms:modified xsi:type="dcterms:W3CDTF">2026-09-05T13:13:04Z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